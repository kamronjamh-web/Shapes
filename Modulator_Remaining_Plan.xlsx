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sisherweb-my.sharepoint.com/personal/kamronh_alliedstoneinc_com/Documents/Desktop/Dev/Rebuild/"/>
    </mc:Choice>
  </mc:AlternateContent>
  <xr:revisionPtr revIDLastSave="556" documentId="8_{DBF9377B-79FB-4F3C-A59F-01602ED1446F}" xr6:coauthVersionLast="47" xr6:coauthVersionMax="47" xr10:uidLastSave="{DE7F8649-43DE-4C8F-9B17-0867DE69BFFE}"/>
  <bookViews>
    <workbookView xWindow="28800" yWindow="3810" windowWidth="11280" windowHeight="11160" firstSheet="3" activeTab="4" xr2:uid="{8C277D89-F3B6-4DDB-A9E2-58D2B9AF610D}"/>
  </bookViews>
  <sheets>
    <sheet name="Summary" sheetId="5" r:id="rId1"/>
    <sheet name="Remaining_63" sheetId="4" r:id="rId2"/>
    <sheet name="Legend" sheetId="3" r:id="rId3"/>
    <sheet name="Value_Guide" sheetId="2" r:id="rId4"/>
    <sheet name="Mechanic_Checkoff" sheetId="6" r:id="rId5"/>
    <sheet name="Current_And_Proposed" sheetId="1" r:id="rId6"/>
  </sheets>
  <definedNames>
    <definedName name="_xlnm._FilterDatabase" localSheetId="5" hidden="1">Current_And_Proposed!$A$1:$L$1</definedName>
    <definedName name="_xlnm._FilterDatabase" localSheetId="4" hidden="1">Mechanic_Checkoff!$A$6:$N$6</definedName>
    <definedName name="_xlnm._FilterDatabase" localSheetId="1" hidden="1">Remaining_63!$A$1:$P$1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1" i="5" l="1"/>
  <c r="D15" i="5"/>
  <c r="D14" i="5"/>
  <c r="D13" i="5"/>
  <c r="B15" i="5"/>
  <c r="B14" i="5"/>
  <c r="B13" i="5"/>
  <c r="D10" i="5"/>
  <c r="C10" i="5"/>
  <c r="B10" i="5"/>
  <c r="D9" i="5"/>
  <c r="D8" i="5"/>
  <c r="D7" i="5"/>
</calcChain>
</file>

<file path=xl/sharedStrings.xml><?xml version="1.0" encoding="utf-8"?>
<sst xmlns="http://schemas.openxmlformats.org/spreadsheetml/2006/main" count="2465" uniqueCount="824">
  <si>
    <t>Modulator Expansion Direction</t>
  </si>
  <si>
    <t>Target identities: 100 (quality variants do not increase identity count).</t>
  </si>
  <si>
    <t>Current identities: 37</t>
  </si>
  <si>
    <t>Remaining identities in this workbook: 63</t>
  </si>
  <si>
    <t>Combined current + proposed identities: 100</t>
  </si>
  <si>
    <t>Tier</t>
  </si>
  <si>
    <t>Current</t>
  </si>
  <si>
    <t>Target</t>
  </si>
  <si>
    <t>Remaining</t>
  </si>
  <si>
    <t>Tier1</t>
  </si>
  <si>
    <t>Tier2</t>
  </si>
  <si>
    <t>Tier3</t>
  </si>
  <si>
    <t>Total</t>
  </si>
  <si>
    <t>Rows by tier from Remaining_63 sheet</t>
  </si>
  <si>
    <t>Tier1 rows</t>
  </si>
  <si>
    <t>Tier2 rows</t>
  </si>
  <si>
    <t>Tier3 rows</t>
  </si>
  <si>
    <t>Design rule</t>
  </si>
  <si>
    <t>Quality should scale numbers, not add new mechanics.</t>
  </si>
  <si>
    <t>Value rule</t>
  </si>
  <si>
    <t>Use true multiplicative x-values only on Tier3, or on Tier2 rows that include a clear drawback.</t>
  </si>
  <si>
    <t>RowId</t>
  </si>
  <si>
    <t>Bucket</t>
  </si>
  <si>
    <t>Eligibility</t>
  </si>
  <si>
    <t>TargetWeaponOrTag</t>
  </si>
  <si>
    <t>SuggestedName</t>
  </si>
  <si>
    <t>SuggestedEffect</t>
  </si>
  <si>
    <t>SuggestedMechanicType</t>
  </si>
  <si>
    <t>SuggestedBaselineNumbers</t>
  </si>
  <si>
    <t>QualitySuggestion</t>
  </si>
  <si>
    <t>Priority</t>
  </si>
  <si>
    <t>RuntimeNotes</t>
  </si>
  <si>
    <t>YourDesignIntent</t>
  </si>
  <si>
    <t>YourFinalEffect</t>
  </si>
  <si>
    <t>YourFinalNumbers</t>
  </si>
  <si>
    <t>Status</t>
  </si>
  <si>
    <t>T1-U01</t>
  </si>
  <si>
    <t>UniversalStat</t>
  </si>
  <si>
    <t>Universal</t>
  </si>
  <si>
    <t>all</t>
  </si>
  <si>
    <t>Vital Reservoir</t>
  </si>
  <si>
    <t>Simple survivability anchor for any build.</t>
  </si>
  <si>
    <t>HealthMultiplier</t>
  </si>
  <si>
    <t>+12% max health.</t>
  </si>
  <si>
    <t>Scale additive percent: Flawed +6%, Baseline +12%, Enhanced +18%, Flawless +24%.</t>
  </si>
  <si>
    <t>P2</t>
  </si>
  <si>
    <t>Pure passive and low risk.</t>
  </si>
  <si>
    <t>T1-U02</t>
  </si>
  <si>
    <t>Recovery Circuit</t>
  </si>
  <si>
    <t>Flat regen bump to smooth attrition in long fights.</t>
  </si>
  <si>
    <t>HealthRegenAdd</t>
  </si>
  <si>
    <t>+1.2 health regen.</t>
  </si>
  <si>
    <t>Scale regen only: +0.8, +1.2, +1.6, +2.0.</t>
  </si>
  <si>
    <t>T1-U03</t>
  </si>
  <si>
    <t>Evasion Mesh</t>
  </si>
  <si>
    <t>Readable defensive stat that is not damage focused.</t>
  </si>
  <si>
    <t>DodgeChanceAdd</t>
  </si>
  <si>
    <t>+6 dodge chance.</t>
  </si>
  <si>
    <t>Scale chance only: +3, +6, +9, +12.</t>
  </si>
  <si>
    <t>T1-U04</t>
  </si>
  <si>
    <t>Stride Servo</t>
  </si>
  <si>
    <t>Mobility foundation modulator for reposition-heavy play.</t>
  </si>
  <si>
    <t>MovementSpeedMultiplier</t>
  </si>
  <si>
    <t>+8% move speed.</t>
  </si>
  <si>
    <t>Scale additive percent: +4%, +8%, +12%, +16%.</t>
  </si>
  <si>
    <t>T1-T01</t>
  </si>
  <si>
    <t>TagSpecific</t>
  </si>
  <si>
    <t>Tag-based</t>
  </si>
  <si>
    <t>square|triangle|hypercone</t>
  </si>
  <si>
    <t>Ballistic Tuning</t>
  </si>
  <si>
    <t>Clean projectile delivery boost for precision lanes.</t>
  </si>
  <si>
    <t>ProjectileSpeedMultiplier</t>
  </si>
  <si>
    <t>+15% projectile speed.</t>
  </si>
  <si>
    <t>Scale additive percent: +8%, +15%, +22%, +30%.</t>
  </si>
  <si>
    <t>Uses existing projectile-speed runtime path.</t>
  </si>
  <si>
    <t>T1-T02</t>
  </si>
  <si>
    <t>mine|orbital|zone|clone</t>
  </si>
  <si>
    <t>Extended Uptime</t>
  </si>
  <si>
    <t>Longer field and summon presence without adding mechanics.</t>
  </si>
  <si>
    <t>DurationMultiplier</t>
  </si>
  <si>
    <t>+20% duration.</t>
  </si>
  <si>
    <t>Scale additive percent: +10%, +20%, +30%, +40%.</t>
  </si>
  <si>
    <t>Uses existing duration runtime path.</t>
  </si>
  <si>
    <t>T1-T03</t>
  </si>
  <si>
    <t>hexagon|mine</t>
  </si>
  <si>
    <t>Fuse Tuner</t>
  </si>
  <si>
    <t>Mine cadence bump for setup-focused builds.</t>
  </si>
  <si>
    <t>CooldownMultiplier</t>
  </si>
  <si>
    <t>-8% cooldown (faster).</t>
  </si>
  <si>
    <t>Scale additive percent: -4%, -8%, -12%, -16% cooldown.</t>
  </si>
  <si>
    <t>Tag gate avoids non-mine spillover.</t>
  </si>
  <si>
    <t>T1-T04</t>
  </si>
  <si>
    <t>cube|orbital</t>
  </si>
  <si>
    <t>Orbital Bracing</t>
  </si>
  <si>
    <t>Improves orbital contact consistency through reach.</t>
  </si>
  <si>
    <t>RangeMultiplier</t>
  </si>
  <si>
    <t>+12% range.</t>
  </si>
  <si>
    <t>Scale additive percent: +6%, +12%, +18%, +25%.</t>
  </si>
  <si>
    <t>Range multiplier already resolves on orbital behavior.</t>
  </si>
  <si>
    <t>T1-T05</t>
  </si>
  <si>
    <t>pyramid|homing</t>
  </si>
  <si>
    <t>Guidance Spine</t>
  </si>
  <si>
    <t>Simple homing correction improvement for seeker weapons.</t>
  </si>
  <si>
    <t>HomingStrengthMultiplier</t>
  </si>
  <si>
    <t>+20% homing strength.</t>
  </si>
  <si>
    <t>Uses existing homing-strength runtime hook.</t>
  </si>
  <si>
    <t>T1-D01</t>
  </si>
  <si>
    <t>UtilityDefensive</t>
  </si>
  <si>
    <t>Stability Plating</t>
  </si>
  <si>
    <t>Crowd-control utility via stronger knockback pressure.</t>
  </si>
  <si>
    <t>KnockbackMultiplier</t>
  </si>
  <si>
    <t>+20% knockback.</t>
  </si>
  <si>
    <t>Scale additive percent: +8%, +20%, +32%, +45%.</t>
  </si>
  <si>
    <t>P3</t>
  </si>
  <si>
    <t>Verify knockback multiplier path is active in all attack families.</t>
  </si>
  <si>
    <t>T2-U01</t>
  </si>
  <si>
    <t>UniversalCombined</t>
  </si>
  <si>
    <t>Glass Hammer Core</t>
  </si>
  <si>
    <t>High damage with intentional fragility tradeoff.</t>
  </si>
  <si>
    <t>DamageMultiplier + HealthMultiplier</t>
  </si>
  <si>
    <t>Upside: +24% damage. Drawback: -12% max health.</t>
  </si>
  <si>
    <t>Scale both sides slightly; keep downside visible at all qualities.</t>
  </si>
  <si>
    <t>P1</t>
  </si>
  <si>
    <t>No new runtime required.</t>
  </si>
  <si>
    <t>T2-U02</t>
  </si>
  <si>
    <t>Rapid Geometry</t>
  </si>
  <si>
    <t>Faster cycle in exchange for narrower impact footprint.</t>
  </si>
  <si>
    <t>CooldownMultiplier + AreaMultiplier</t>
  </si>
  <si>
    <t>Upside: -18% cooldown (faster cadence). Drawback: -12% area.</t>
  </si>
  <si>
    <t>Scale both sides; upside should grow a little faster than downside.</t>
  </si>
  <si>
    <t>T2-U03</t>
  </si>
  <si>
    <t>Deadeye Tension</t>
  </si>
  <si>
    <t>Crit-focused accuracy package with area loss.</t>
  </si>
  <si>
    <t>CritChanceAdd + AreaMultiplier</t>
  </si>
  <si>
    <t>Upside: +10 crit chance. Drawback: -10% area.</t>
  </si>
  <si>
    <t>Scale crit first; area penalty should stay mostly flat.</t>
  </si>
  <si>
    <t>T2-U04</t>
  </si>
  <si>
    <t>Siege Footing</t>
  </si>
  <si>
    <t>Bigger hit zones while slightly reducing mobility.</t>
  </si>
  <si>
    <t>AreaMultiplier + MovementSpeedMultiplier</t>
  </si>
  <si>
    <t>Upside: +20% area. Drawback: -8% move speed.</t>
  </si>
  <si>
    <t>Scale area more than speed penalty.</t>
  </si>
  <si>
    <t>T2-U05</t>
  </si>
  <si>
    <t>Longshot Pressure</t>
  </si>
  <si>
    <t>Reach-focused package with slower cadence.</t>
  </si>
  <si>
    <t>RangeMultiplier + CooldownMultiplier</t>
  </si>
  <si>
    <t>Upside: +22% range. Drawback: +10% cooldown (slower cadence).</t>
  </si>
  <si>
    <t>Scale range; keep cadence tax near constant.</t>
  </si>
  <si>
    <t>T2-U06</t>
  </si>
  <si>
    <t>Predator Rhythm</t>
  </si>
  <si>
    <t>Harder crits at the cost of tempo.</t>
  </si>
  <si>
    <t>CritDamageMultiplier + CooldownMultiplier</t>
  </si>
  <si>
    <t>Upside: +30% crit damage. Drawback: +8% cooldown (slower cadence).</t>
  </si>
  <si>
    <t>Scale crit damage only for most tiers.</t>
  </si>
  <si>
    <t>T2-U07</t>
  </si>
  <si>
    <t>Vampiric Engine</t>
  </si>
  <si>
    <t>Sustain conversion with lower base hit strength.</t>
  </si>
  <si>
    <t>LifeStealAdd + DamageMultiplier</t>
  </si>
  <si>
    <t>Upside: +3 lifesteal. Drawback: -10% damage.</t>
  </si>
  <si>
    <t>Scale lifesteal primarily; damage penalty nearly fixed.</t>
  </si>
  <si>
    <t>T2-U08</t>
  </si>
  <si>
    <t>Overburn Fins</t>
  </si>
  <si>
    <t>Fast delivery profile that trims per-hit force.</t>
  </si>
  <si>
    <t>ProjectileSpeedMultiplier + DamageMultiplier</t>
  </si>
  <si>
    <t>Upside: +25% projectile speed. Drawback: -14% damage.</t>
  </si>
  <si>
    <t>Scale speed more than damage penalty.</t>
  </si>
  <si>
    <t>Validate non-projectile families ignore or convert this cleanly.</t>
  </si>
  <si>
    <t>T2-U09</t>
  </si>
  <si>
    <t>Bulwark Drive</t>
  </si>
  <si>
    <t>Durability package with slower attack loop.</t>
  </si>
  <si>
    <t>HealthMultiplier + CooldownMultiplier</t>
  </si>
  <si>
    <t>Upside: +18% max health. Drawback: +8% cooldown (slower cadence).</t>
  </si>
  <si>
    <t>Scale health only; cadence penalty mostly static.</t>
  </si>
  <si>
    <t>T2-U10</t>
  </si>
  <si>
    <t>Reckless Focus</t>
  </si>
  <si>
    <t>Aggressive crit profile with meaningful survivability loss.</t>
  </si>
  <si>
    <t>CritChanceAdd + HealthMultiplier</t>
  </si>
  <si>
    <t>Upside: +12 crit chance. Drawback: -14% max health.</t>
  </si>
  <si>
    <t>Scale crit chance; keep health downside stable.</t>
  </si>
  <si>
    <t>T2-T01</t>
  </si>
  <si>
    <t>TagFamily</t>
  </si>
  <si>
    <t>precision|square|triangle|hypercone</t>
  </si>
  <si>
    <t>Precision Rail</t>
  </si>
  <si>
    <t>Lane pressure package for precision weapons.</t>
  </si>
  <si>
    <t>RangeMultiplier + ProjectileSpeedMultiplier + CooldownMultiplier</t>
  </si>
  <si>
    <t>Upside: +18% range and +18% projectile speed. Drawback: +6% cooldown (slower cadence).</t>
  </si>
  <si>
    <t>Scale range and speed; cadence tax should remain mild.</t>
  </si>
  <si>
    <t>Uses existing scalar stats only.</t>
  </si>
  <si>
    <t>T2-T02</t>
  </si>
  <si>
    <t>circle|sawblade</t>
  </si>
  <si>
    <t>Saw Storm</t>
  </si>
  <si>
    <t>More saw presence with reduced per-hit value.</t>
  </si>
  <si>
    <t>ProjectileCountAdd + DamageMultiplier</t>
  </si>
  <si>
    <t>Upside: +1 projectile. Drawback: -18% damage.</t>
  </si>
  <si>
    <t>Scale count at top quality only if readable; otherwise scale damage penalty less.</t>
  </si>
  <si>
    <t>Count changes need sawblade spawn-limit safeguards.</t>
  </si>
  <si>
    <t>T2-T03</t>
  </si>
  <si>
    <t>triangle|laser</t>
  </si>
  <si>
    <t>Beam Condenser</t>
  </si>
  <si>
    <t>Tighter beam profile with stronger line damage.</t>
  </si>
  <si>
    <t>DamageMultiplier + AreaMultiplier</t>
  </si>
  <si>
    <t>Upside: +22% damage. Drawback: -18% area.</t>
  </si>
  <si>
    <t>Scale damage only beyond baseline.</t>
  </si>
  <si>
    <t>Area maps to beam width/volume in runtime.</t>
  </si>
  <si>
    <t>T2-T04</t>
  </si>
  <si>
    <t>Mine Relay</t>
  </si>
  <si>
    <t>Rapid deployment with shorter mine persistence.</t>
  </si>
  <si>
    <t>CooldownMultiplier + DurationMultiplier</t>
  </si>
  <si>
    <t>Upside: -22% cooldown (faster deployment). Drawback: -18% duration.</t>
  </si>
  <si>
    <t>Scale cadence mostly; duration tax stays meaningful.</t>
  </si>
  <si>
    <t>Matches requested mine tradeoff pattern.</t>
  </si>
  <si>
    <t>T2-T05</t>
  </si>
  <si>
    <t>sphere|nova</t>
  </si>
  <si>
    <t>Nova Shear</t>
  </si>
  <si>
    <t>Bigger nova with slower pulse cycle.</t>
  </si>
  <si>
    <t>AreaMultiplier + CooldownMultiplier</t>
  </si>
  <si>
    <t>Upside: +30% area. Drawback: +14% cooldown (slower cadence).</t>
  </si>
  <si>
    <t>Scale area only after baseline.</t>
  </si>
  <si>
    <t>T2-T06</t>
  </si>
  <si>
    <t>Orbital Compression</t>
  </si>
  <si>
    <t>Extra orbital at tighter radius for high contact risk.</t>
  </si>
  <si>
    <t>ProjectileCountAdd + NewOrbitRadiusScalar</t>
  </si>
  <si>
    <t>Upside: +1 orbital. Drawback: -22% orbit radius.</t>
  </si>
  <si>
    <t>Scale count/radius carefully; keep one clear downside.</t>
  </si>
  <si>
    <t>Requires explicit orbit-radius runtime scalar.</t>
  </si>
  <si>
    <t>T2-T07</t>
  </si>
  <si>
    <t>Hunter Saturation</t>
  </si>
  <si>
    <t>Extra seeker output with lower hit strength.</t>
  </si>
  <si>
    <t>Upside: +1 projectile. Drawback: -20% damage.</t>
  </si>
  <si>
    <t>Scale count only at high quality if readability holds.</t>
  </si>
  <si>
    <t>Works with current homing and projectile hooks.</t>
  </si>
  <si>
    <t>T2-T08</t>
  </si>
  <si>
    <t>cone|flame</t>
  </si>
  <si>
    <t>Flame Jet</t>
  </si>
  <si>
    <t>Longer cone reach with reduced linger time.</t>
  </si>
  <si>
    <t>RangeMultiplier + DurationMultiplier</t>
  </si>
  <si>
    <t>Upside: +22% range. Drawback: -15% duration.</t>
  </si>
  <si>
    <t>Scale range more than duration penalty.</t>
  </si>
  <si>
    <t>Needs cone-range parity check in FPS and arena.</t>
  </si>
  <si>
    <t>T2-T09</t>
  </si>
  <si>
    <t>tesseract|rift|zone</t>
  </si>
  <si>
    <t>Rift Stabilizer</t>
  </si>
  <si>
    <t>Longer rift uptime with reduced tick damage.</t>
  </si>
  <si>
    <t>DurationMultiplier + DamageMultiplier</t>
  </si>
  <si>
    <t>Upside: +30% duration. Drawback: -12% damage.</t>
  </si>
  <si>
    <t>Scale duration only for most qualities.</t>
  </si>
  <si>
    <t>T2-T10</t>
  </si>
  <si>
    <t>hyperphere|mortar</t>
  </si>
  <si>
    <t>Mortar Barrage</t>
  </si>
  <si>
    <t>Extra shell output with lower shell impact.</t>
  </si>
  <si>
    <t>Upside: +1 projectile. Drawback: -22% damage.</t>
  </si>
  <si>
    <t>Scale projectile count very carefully to avoid visual clutter.</t>
  </si>
  <si>
    <t>Needs mortar spread/range clamps.</t>
  </si>
  <si>
    <t>T2-T11</t>
  </si>
  <si>
    <t>pentachoron|chainlightning</t>
  </si>
  <si>
    <t>Chain Capacitor</t>
  </si>
  <si>
    <t>Longer chain routes with lower arc damage.</t>
  </si>
  <si>
    <t>ChainCountAdd + DamageMultiplier</t>
  </si>
  <si>
    <t>Upside: +2 chain count. Drawback: -14% damage.</t>
  </si>
  <si>
    <t>Scale chain count or arc damage not both at once.</t>
  </si>
  <si>
    <t>Confirm chain count mod is consumed in runtime.</t>
  </si>
  <si>
    <t>T2-T12</t>
  </si>
  <si>
    <t>hypercone|drill</t>
  </si>
  <si>
    <t>Drill Spool</t>
  </si>
  <si>
    <t>Faster drill travel with shorter active time.</t>
  </si>
  <si>
    <t>ProjectileSpeedMultiplier + DurationMultiplier</t>
  </si>
  <si>
    <t>Upside: +24% projectile speed. Drawback: -16% duration.</t>
  </si>
  <si>
    <t>Scale speed only beyond baseline.</t>
  </si>
  <si>
    <t>Projectile speed already affects drill travel.</t>
  </si>
  <si>
    <t>T2-T13</t>
  </si>
  <si>
    <t>impossiblecube|void</t>
  </si>
  <si>
    <t>Void Compression</t>
  </si>
  <si>
    <t>Stronger pull with reduced effect radius.</t>
  </si>
  <si>
    <t>PullStrengthMultiplier + AreaMultiplier</t>
  </si>
  <si>
    <t>Upside: +35% pull strength. Drawback: -14% area.</t>
  </si>
  <si>
    <t>Scale pull strength; radius tax mostly fixed.</t>
  </si>
  <si>
    <t>Pull-strength scalar exists in effect enum but may need hookup audit.</t>
  </si>
  <si>
    <t>T2-T14</t>
  </si>
  <si>
    <t>mobius|temporal_echo|echo</t>
  </si>
  <si>
    <t>Echo Focus</t>
  </si>
  <si>
    <t>Heavier echoes with slower trigger cadence.</t>
  </si>
  <si>
    <t>CloneOrEchoPowerMultiplier + CooldownMultiplier</t>
  </si>
  <si>
    <t>Upside: +28% echo power. Drawback: +10% cooldown (slower cadence).</t>
  </si>
  <si>
    <t>Scale echo power only.</t>
  </si>
  <si>
    <t>Uses first-wave echo runtime path.</t>
  </si>
  <si>
    <t>T2-T15</t>
  </si>
  <si>
    <t>klein|wrath_aura|aura</t>
  </si>
  <si>
    <t>Wrath Furnace</t>
  </si>
  <si>
    <t>Harder aura ticks with lower survivability.</t>
  </si>
  <si>
    <t>Scale damage only after baseline.</t>
  </si>
  <si>
    <t>Aura path should inherit source-item modifiers consistently.</t>
  </si>
  <si>
    <t>T2-T16</t>
  </si>
  <si>
    <t>boys|shadow_clone|clone</t>
  </si>
  <si>
    <t>Clone Relay</t>
  </si>
  <si>
    <t>More clone contribution with shorter clone life.</t>
  </si>
  <si>
    <t>CloneOrEchoPowerMultiplier + DurationMultiplier</t>
  </si>
  <si>
    <t>Upside: +24% clone power. Drawback: -18% duration.</t>
  </si>
  <si>
    <t>Scale clone power first; duration downside constant.</t>
  </si>
  <si>
    <t>Clone duration scaling already exists and should be reused.</t>
  </si>
  <si>
    <t>T2-W01</t>
  </si>
  <si>
    <t>WeaponDirectional</t>
  </si>
  <si>
    <t>Weapon-specific</t>
  </si>
  <si>
    <t>square</t>
  </si>
  <si>
    <t>Needle Shot</t>
  </si>
  <si>
    <t>Square specializes into long-range puncture fire.</t>
  </si>
  <si>
    <t>DamageMultiplier + RangeMultiplier + CooldownMultiplier</t>
  </si>
  <si>
    <t>Upside: +28% damage and +25% range. Drawback: +12% cooldown (slower cadence).</t>
  </si>
  <si>
    <t>Scale damage/range; keep cadence tax fixed.</t>
  </si>
  <si>
    <t>T2-W02</t>
  </si>
  <si>
    <t>circle</t>
  </si>
  <si>
    <t>Return Arc</t>
  </si>
  <si>
    <t>Sawblade returns once after max travel for extra lane control.</t>
  </si>
  <si>
    <t>NewSawReturn + DamageMultiplier</t>
  </si>
  <si>
    <t>Upside: one return pass. Drawback: -10% damage.</t>
  </si>
  <si>
    <t>Mechanic mostly locked; quality scales return damage coefficient.</t>
  </si>
  <si>
    <t>Requires dedicated saw return runtime branch.</t>
  </si>
  <si>
    <t>T2-W03</t>
  </si>
  <si>
    <t>triangle</t>
  </si>
  <si>
    <t>Line Driver</t>
  </si>
  <si>
    <t>Beam becomes thinner and significantly stronger.</t>
  </si>
  <si>
    <t>Upside: +35% damage. Drawback: -25% area.</t>
  </si>
  <si>
    <t>Scale damage only.</t>
  </si>
  <si>
    <t>Area maps to beam width.</t>
  </si>
  <si>
    <t>T2-W04</t>
  </si>
  <si>
    <t>hexagon</t>
  </si>
  <si>
    <t>Quick Plant</t>
  </si>
  <si>
    <t>Mines deploy rapidly but expire rapidly.</t>
  </si>
  <si>
    <t>Upside: -25% cooldown (faster deployment). Drawback: -25% duration.</t>
  </si>
  <si>
    <t>Scale cooldown only above baseline.</t>
  </si>
  <si>
    <t>Direct fit for requested mine directional pattern.</t>
  </si>
  <si>
    <t>T2-W05</t>
  </si>
  <si>
    <t>sphere</t>
  </si>
  <si>
    <t>Double Pulse</t>
  </si>
  <si>
    <t>Nova emits a weaker return pulse after expansion.</t>
  </si>
  <si>
    <t>NewSecondPulse + CooldownMultiplier</t>
  </si>
  <si>
    <t>Upside: second pulse at 60% power. Drawback: +15% cooldown (slower cadence).</t>
  </si>
  <si>
    <t>Scale return pulse coefficient only.</t>
  </si>
  <si>
    <t>Requires nova second-pulse runtime support.</t>
  </si>
  <si>
    <t>T2-W06</t>
  </si>
  <si>
    <t>cube</t>
  </si>
  <si>
    <t>Tight Orbit</t>
  </si>
  <si>
    <t>Adds one orbital and shrinks orbit radius substantially.</t>
  </si>
  <si>
    <t>Upside: +1 orbital. Drawback: -28% orbit radius.</t>
  </si>
  <si>
    <t>Scale radius or added orbit count one step at a time.</t>
  </si>
  <si>
    <t>Matches requested orbital directional tradeoff.</t>
  </si>
  <si>
    <t>T2-W07</t>
  </si>
  <si>
    <t>pyramid</t>
  </si>
  <si>
    <t>Lock Burst</t>
  </si>
  <si>
    <t>Seekers aggressively stack on a locked target with lower base damage.</t>
  </si>
  <si>
    <t>HomingStrengthMultiplier + DamageMultiplier + NewTargetLockBias</t>
  </si>
  <si>
    <t>Upside: +20% homing and high lock bias. Drawback: -14% damage.</t>
  </si>
  <si>
    <t>Scale lock bias and homing more than damage.</t>
  </si>
  <si>
    <t>Needs explicit lock-bias parameter in seeker targeting.</t>
  </si>
  <si>
    <t>T2-W08</t>
  </si>
  <si>
    <t>hyperphere</t>
  </si>
  <si>
    <t>High Arc Bombard</t>
  </si>
  <si>
    <t>Mortar shells travel faster but with tighter blast radius.</t>
  </si>
  <si>
    <t>ProjectileSpeedMultiplier + AreaMultiplier</t>
  </si>
  <si>
    <t>Upside: +28% projectile speed. Drawback: -12% area.</t>
  </si>
  <si>
    <t>Scale speed; keep radius downside present.</t>
  </si>
  <si>
    <t>Uses mortar projectile-speed path plus area scaling.</t>
  </si>
  <si>
    <t>T3-P01</t>
  </si>
  <si>
    <t>Proc</t>
  </si>
  <si>
    <t>Critical Cascade</t>
  </si>
  <si>
    <t>Critical hits trigger a short micro-chain to one nearby enemy.</t>
  </si>
  <si>
    <t>NewOnCritChainProc</t>
  </si>
  <si>
    <t>35% chain damage, 10m radius, 0.35s internal cooldown.</t>
  </si>
  <si>
    <t>Scale chain damage and radius; keep proc identity fixed.</t>
  </si>
  <si>
    <t>Needs OnCrit trigger support or crit-flag handoff into OnHit resolver.</t>
  </si>
  <si>
    <t>T3-X01</t>
  </si>
  <si>
    <t>WeaponTransformation</t>
  </si>
  <si>
    <t>Burstline Converter</t>
  </si>
  <si>
    <t>Square single shot converts into a controlled 3-round burst.</t>
  </si>
  <si>
    <t>NewWeaponTransform</t>
  </si>
  <si>
    <t>3 shots at 45% each with 0.18s spacing.</t>
  </si>
  <si>
    <t>Mechanic locked; quality scales per-shot coefficient only.</t>
  </si>
  <si>
    <t>Transformation branch in square fire routine.</t>
  </si>
  <si>
    <t>T3-X02</t>
  </si>
  <si>
    <t>Serration Bloom</t>
  </si>
  <si>
    <t>Sawblades split after reaching max pierce.</t>
  </si>
  <si>
    <t>Split into 2 mini blades at 55% damage.</t>
  </si>
  <si>
    <t>Scale split damage first; split count only at top tier if readable.</t>
  </si>
  <si>
    <t>User-request example and strong identity anchor.</t>
  </si>
  <si>
    <t>T3-X03</t>
  </si>
  <si>
    <t>Prism Refraction</t>
  </si>
  <si>
    <t>Beam forks into side beams after sustained contact.</t>
  </si>
  <si>
    <t>After 0.25s contact spawn 2 forks at 40% damage.</t>
  </si>
  <si>
    <t>Scale fork damage only.</t>
  </si>
  <si>
    <t>Needs per-target contact timer state.</t>
  </si>
  <si>
    <t>T3-X04</t>
  </si>
  <si>
    <t>Command Cluster</t>
  </si>
  <si>
    <t>Mines become remote-detonated clusters.</t>
  </si>
  <si>
    <t>Detonation spawns 3 child mines at 35% damage.</t>
  </si>
  <si>
    <t>Scale child-mine damage or child count, not both.</t>
  </si>
  <si>
    <t>User-request example and high build direction value.</t>
  </si>
  <si>
    <t>T3-X05</t>
  </si>
  <si>
    <t>Collapse Pulse</t>
  </si>
  <si>
    <t>Nova expands then collapses inward for a second hit window.</t>
  </si>
  <si>
    <t>Return wave at 65% damage after outer edge reaches max.</t>
  </si>
  <si>
    <t>Scale return-wave coefficient only.</t>
  </si>
  <si>
    <t>User-request example and pairs with nova identity.</t>
  </si>
  <si>
    <t>T3-X06</t>
  </si>
  <si>
    <t>Aegis Carousel</t>
  </si>
  <si>
    <t>Orbitals leave short damage trails and reverse orbit periodically.</t>
  </si>
  <si>
    <t>Trail ticks at 25% damage and reverse every 2s.</t>
  </si>
  <si>
    <t>Scale trail damage and trail duration; keep reversal behavior fixed.</t>
  </si>
  <si>
    <t>Requires orbital trail entity path.</t>
  </si>
  <si>
    <t>T3-X07</t>
  </si>
  <si>
    <t>Pack Hunters</t>
  </si>
  <si>
    <t>First seeker marks target; follow-up seekers prioritize the mark.</t>
  </si>
  <si>
    <t>Mark lasts 3s and grants 30% seeker retarget bias.</t>
  </si>
  <si>
    <t>Scale mark duration or bonus damage only.</t>
  </si>
  <si>
    <t>Can reuse ApplyMark state if shared safely.</t>
  </si>
  <si>
    <t>T3-X08</t>
  </si>
  <si>
    <t>cone</t>
  </si>
  <si>
    <t>Backdraft Corridor</t>
  </si>
  <si>
    <t>Flame cone leaves a burning corridor behind enemy line.</t>
  </si>
  <si>
    <t>Corridor lasts 2.5s at 32% DPS coefficient.</t>
  </si>
  <si>
    <t>Scale corridor duration and coefficient only.</t>
  </si>
  <si>
    <t>Needs cone-hit sweep to spawn aligned lingering zone.</t>
  </si>
  <si>
    <t>T3-X09</t>
  </si>
  <si>
    <t>tesseract</t>
  </si>
  <si>
    <t>Phase Inversion</t>
  </si>
  <si>
    <t>Rift alternates pull and push pulses during lifetime.</t>
  </si>
  <si>
    <t>Pulse every 0.6s with pull then push sequence.</t>
  </si>
  <si>
    <t>Scale pulse strength and pulse count only.</t>
  </si>
  <si>
    <t>Can build on existing pull and zone tick systems.</t>
  </si>
  <si>
    <t>T3-X10</t>
  </si>
  <si>
    <t>Scorch Crater</t>
  </si>
  <si>
    <t>Mortar leaves a burning impact zone after explosion.</t>
  </si>
  <si>
    <t>Crater lasts 3.5s at 30% DPS coefficient.</t>
  </si>
  <si>
    <t>Scale crater duration or DPS coefficient.</t>
  </si>
  <si>
    <t>User-request example and straightforward with lingering-zone framework.</t>
  </si>
  <si>
    <t>T3-X11</t>
  </si>
  <si>
    <t>pentachoron</t>
  </si>
  <si>
    <t>Closed Circuit</t>
  </si>
  <si>
    <t>Chain lightning can re-strike the original target once.</t>
  </si>
  <si>
    <t>One allowed return strike at 50% arc damage.</t>
  </si>
  <si>
    <t>Scale return-strike damage only.</t>
  </si>
  <si>
    <t>User-request example and clear chain identity.</t>
  </si>
  <si>
    <t>T3-X12</t>
  </si>
  <si>
    <t>hypercone</t>
  </si>
  <si>
    <t>Tunnel Bore</t>
  </si>
  <si>
    <t>Drill leaves a damaging tunnel wake through traveled space.</t>
  </si>
  <si>
    <t>Wake lasts 1.8s at 28% DPS coefficient.</t>
  </si>
  <si>
    <t>Scale wake duration and coefficient; keep tunnel mechanic fixed.</t>
  </si>
  <si>
    <t>Needs drill path sampling and wake zone spawn.</t>
  </si>
  <si>
    <t>T3-X13</t>
  </si>
  <si>
    <t>impossiblecube</t>
  </si>
  <si>
    <t>Event Horizon Tear</t>
  </si>
  <si>
    <t>Void singularity ends with implosion then fragment eruption.</t>
  </si>
  <si>
    <t>Final burst 160% then 6 shards at 30% each.</t>
  </si>
  <si>
    <t>Scale burst and shard coefficients only.</t>
  </si>
  <si>
    <t>Needs deterministic finalization event hook.</t>
  </si>
  <si>
    <t>T3-X14</t>
  </si>
  <si>
    <t>mobius</t>
  </si>
  <si>
    <t>Echo Weave</t>
  </si>
  <si>
    <t>Temporal Echo fires a delayed mirror volley with no recursion.</t>
  </si>
  <si>
    <t>Mirror volley at 40% power after 0.6s delay.</t>
  </si>
  <si>
    <t>Scale mirror power only; keep recursion blocked.</t>
  </si>
  <si>
    <t>Leverages existing EchoAfterDelay safety pattern.</t>
  </si>
  <si>
    <t>T3-X15</t>
  </si>
  <si>
    <t>klein</t>
  </si>
  <si>
    <t>Blood Price Reactor</t>
  </si>
  <si>
    <t>Wrath Aura stores taken damage and releases burst pulses.</t>
  </si>
  <si>
    <t>Store 30% recent damage and pulse every 1.5s.</t>
  </si>
  <si>
    <t>Scale stored-percent cap and pulse coefficient.</t>
  </si>
  <si>
    <t>Needs damage-received buffer on player context.</t>
  </si>
  <si>
    <t>T3-X16</t>
  </si>
  <si>
    <t>boys</t>
  </si>
  <si>
    <t>Primary Mimic</t>
  </si>
  <si>
    <t>Shadow Clones copy the primary-slot weapon at reduced strength.</t>
  </si>
  <si>
    <t>Clone mimic at 35% power and no recursive clone spawning.</t>
  </si>
  <si>
    <t>Scale mimic coefficient only.</t>
  </si>
  <si>
    <t>User-request example and likely highest Tier3 identity value.</t>
  </si>
  <si>
    <t>T3-C01</t>
  </si>
  <si>
    <t>Capstone</t>
  </si>
  <si>
    <t>Apex Doctrine</t>
  </si>
  <si>
    <t>Single-weapon commitment capstone that amplifies non-Tier3 modulators.</t>
  </si>
  <si>
    <t>NewCapstoneRule</t>
  </si>
  <si>
    <t>If this is only Tier3 on weapon: +35% magnitude to Tier1/2 effects.</t>
  </si>
  <si>
    <t>Mechanic locked; quality scales amplification only.</t>
  </si>
  <si>
    <t>Needs conflict-group enforcement and clear UI rule text.</t>
  </si>
  <si>
    <t>T3-C02</t>
  </si>
  <si>
    <t>Omni Feedback</t>
  </si>
  <si>
    <t>Every 8th successful hit emits a universal spectral follow-up strike.</t>
  </si>
  <si>
    <t>NewCapstoneProc</t>
  </si>
  <si>
    <t>Follow-up strike at 100% coefficient with 12m search radius.</t>
  </si>
  <si>
    <t>Scale follow-up coefficient and radius; keep cadence fixed.</t>
  </si>
  <si>
    <t>Requires shared hit-counter state per weapon instance.</t>
  </si>
  <si>
    <t>Legend</t>
  </si>
  <si>
    <t>Meaning</t>
  </si>
  <si>
    <t>Tier1 simple readable stat modulators.</t>
  </si>
  <si>
    <t>Tier1 simple bonuses for limited tag groups.</t>
  </si>
  <si>
    <t>Tier1 non-damage utility and defense coverage.</t>
  </si>
  <si>
    <t>Tier2 combined stats and explicit tradeoffs.</t>
  </si>
  <si>
    <t>Tier2 tag or family-focused combinations.</t>
  </si>
  <si>
    <t>Tier2 directional upgrades for specific weapons.</t>
  </si>
  <si>
    <t>Tier3 proc identity.</t>
  </si>
  <si>
    <t>Tier3 one-per-weapon signature transformation.</t>
  </si>
  <si>
    <t>Tier3 rare universal build-defining effects.</t>
  </si>
  <si>
    <t>Quality guidance</t>
  </si>
  <si>
    <t>Flawed</t>
  </si>
  <si>
    <t>Reduced numeric strength only.</t>
  </si>
  <si>
    <t>Baseline</t>
  </si>
  <si>
    <t>Reference tuning target.</t>
  </si>
  <si>
    <t>Enhanced</t>
  </si>
  <si>
    <t>Higher numeric strength, same mechanic.</t>
  </si>
  <si>
    <t>Flawless</t>
  </si>
  <si>
    <t>Top numeric strength, same mechanic.</t>
  </si>
  <si>
    <t>Value Encoding Guide</t>
  </si>
  <si>
    <t>Policy</t>
  </si>
  <si>
    <t>Use true multiplicative xN.NN values only on Tier3, or on Tier2 rows that include a stated drawback.</t>
  </si>
  <si>
    <t>Tier1 guidance: use additive +N% or flat +N formats for readability.</t>
  </si>
  <si>
    <t>Tier2 guidance: multiplicative values are allowed only when accompanied by downside in the same row.</t>
  </si>
  <si>
    <t>Tier3 guidance: multiplicative and coefficient forms are expected for procs/transformations/capstones.</t>
  </si>
  <si>
    <t>Token</t>
  </si>
  <si>
    <t>Example</t>
  </si>
  <si>
    <t>Notes</t>
  </si>
  <si>
    <t>+N%</t>
  </si>
  <si>
    <t>Additive percent bonus or penalty.</t>
  </si>
  <si>
    <t>+12% damage, -8% cooldown</t>
  </si>
  <si>
    <t>Preferred for Tier1 and non-transform Tier2 documentation.</t>
  </si>
  <si>
    <t>xN.NN</t>
  </si>
  <si>
    <t>True multiplicative scalar.</t>
  </si>
  <si>
    <t>x1.30 damage, x0.82 cooldown</t>
  </si>
  <si>
    <t>Use on Tier3, or Tier2 rows with explicit drawback.</t>
  </si>
  <si>
    <t>+N</t>
  </si>
  <si>
    <t>Flat integer or point addition.</t>
  </si>
  <si>
    <t>+1 projectile, +10 crit chance</t>
  </si>
  <si>
    <t>Use for count/chance style effects.</t>
  </si>
  <si>
    <t>0.NN</t>
  </si>
  <si>
    <t>Ratio/coefficient value.</t>
  </si>
  <si>
    <t>0.35 chain damage scale</t>
  </si>
  <si>
    <t>Common for Tier3 proc payloads.</t>
  </si>
  <si>
    <t>Ns / Nm</t>
  </si>
  <si>
    <t>Time or range units.</t>
  </si>
  <si>
    <t>4.0s mark duration, 18m chain range</t>
  </si>
  <si>
    <t>Keeps numbers unambiguous when filling final specs.</t>
  </si>
  <si>
    <t>Effect field mapping</t>
  </si>
  <si>
    <t>Field</t>
  </si>
  <si>
    <t>Runtime meaning</t>
  </si>
  <si>
    <t>Typical format</t>
  </si>
  <si>
    <t>Magnitude</t>
  </si>
  <si>
    <t>Primary scalar/chance/coefficient value.</t>
  </si>
  <si>
    <t>+12%, x1.25, 0.35</t>
  </si>
  <si>
    <t>MagnitudeB</t>
  </si>
  <si>
    <t>Secondary numeric payload (duration/range/alt scalar).</t>
  </si>
  <si>
    <t>4.0s, 18m, 0.55</t>
  </si>
  <si>
    <t>MagnitudeC</t>
  </si>
  <si>
    <t>Tertiary numeric payload where needed.</t>
  </si>
  <si>
    <t>2.8s, 1.45</t>
  </si>
  <si>
    <t>Count</t>
  </si>
  <si>
    <t>Primary integer count.</t>
  </si>
  <si>
    <t>+1, +2</t>
  </si>
  <si>
    <t>CountB / Key</t>
  </si>
  <si>
    <t>Stored metadata fields (currently limited runtime use).</t>
  </si>
  <si>
    <t>Use only if implementation explicitly consumes them.</t>
  </si>
  <si>
    <t>Status options</t>
  </si>
  <si>
    <t>Planned</t>
  </si>
  <si>
    <t>Drafted</t>
  </si>
  <si>
    <t>Needs Runtime Hook</t>
  </si>
  <si>
    <t>Ready for Build</t>
  </si>
  <si>
    <t>Implemented</t>
  </si>
  <si>
    <t>Playtest</t>
  </si>
  <si>
    <t>Rework</t>
  </si>
  <si>
    <t>IdentityId</t>
  </si>
  <si>
    <t>CatalogStatus</t>
  </si>
  <si>
    <t>Name</t>
  </si>
  <si>
    <t>SourceBucket</t>
  </si>
  <si>
    <t>EffectSummary</t>
  </si>
  <si>
    <t>MechanicType</t>
  </si>
  <si>
    <t>BaselineNumbers</t>
  </si>
  <si>
    <t>C-001</t>
  </si>
  <si>
    <t>Power Coil</t>
  </si>
  <si>
    <t>Core</t>
  </si>
  <si>
    <t>Stacks raw damage into weapon core.</t>
  </si>
  <si>
    <t>DamagePercent substat</t>
  </si>
  <si>
    <t>+22% damage</t>
  </si>
  <si>
    <t>Proposed: Flawed 70%, Baseline 100%, Enhanced 130%, Flawless 160% of listed values.</t>
  </si>
  <si>
    <t>Fallback catalog</t>
  </si>
  <si>
    <t>C-002</t>
  </si>
  <si>
    <t>Accelerator Fins</t>
  </si>
  <si>
    <t>Speeds attack cadence and crit frequency.</t>
  </si>
  <si>
    <t>AttackSpeed + CritChance substats</t>
  </si>
  <si>
    <t>+18% attack speed, +6 crit chance</t>
  </si>
  <si>
    <t>C-003</t>
  </si>
  <si>
    <t>Long Barrel</t>
  </si>
  <si>
    <t>Extends reach and critical impact.</t>
  </si>
  <si>
    <t>Range + CritDamage substats</t>
  </si>
  <si>
    <t>+10% range, +14% crit damage</t>
  </si>
  <si>
    <t>C-004</t>
  </si>
  <si>
    <t>Siege Core</t>
  </si>
  <si>
    <t>Heavier impact profile.</t>
  </si>
  <si>
    <t>DamagePercent + Size substats</t>
  </si>
  <si>
    <t>+28% damage, +10% size</t>
  </si>
  <si>
    <t>C-005</t>
  </si>
  <si>
    <t>Rebound Array</t>
  </si>
  <si>
    <t>Projectile</t>
  </si>
  <si>
    <t>Adds ricochet and bounce behavior.</t>
  </si>
  <si>
    <t>Ricochet + BounceTimes substats</t>
  </si>
  <si>
    <t>+1 ricochet, +1 bounce</t>
  </si>
  <si>
    <t>C-006</t>
  </si>
  <si>
    <t>Split Chamber</t>
  </si>
  <si>
    <t>Adds a second firing lane.</t>
  </si>
  <si>
    <t>ProjectileCount + DamagePercent substats</t>
  </si>
  <si>
    <t>+1 projectile, +10% damage</t>
  </si>
  <si>
    <t>C-007</t>
  </si>
  <si>
    <t>Storm Relay</t>
  </si>
  <si>
    <t>Aggressive multishot profile.</t>
  </si>
  <si>
    <t>ProjectileCount + AttackSpeed + Range substats</t>
  </si>
  <si>
    <t>+1 projectile, +14% attack speed, +6% range</t>
  </si>
  <si>
    <t>C-008</t>
  </si>
  <si>
    <t>Reinforced Shell</t>
  </si>
  <si>
    <t>Sustain</t>
  </si>
  <si>
    <t>Durability and regeneration baseline.</t>
  </si>
  <si>
    <t>HealthPercent + HealthRegen substats</t>
  </si>
  <si>
    <t>+18% health, +2 regen</t>
  </si>
  <si>
    <t>C-009</t>
  </si>
  <si>
    <t>Hemophage Loop</t>
  </si>
  <si>
    <t>Sustain and mobility package.</t>
  </si>
  <si>
    <t>LifeSteal + MovementSpeed substats</t>
  </si>
  <si>
    <t>+4 lifesteal, +8% move speed</t>
  </si>
  <si>
    <t>C-010</t>
  </si>
  <si>
    <t>Lucky Prism</t>
  </si>
  <si>
    <t>Utility</t>
  </si>
  <si>
    <t>Drop/crit utility profile.</t>
  </si>
  <si>
    <t>Luck + CritChance substats</t>
  </si>
  <si>
    <t>+18 luck, +8 crit chance</t>
  </si>
  <si>
    <t>C-011</t>
  </si>
  <si>
    <t>Sharpened Form</t>
  </si>
  <si>
    <t>Tier1 Set</t>
  </si>
  <si>
    <t>Simple baseline damage increase.</t>
  </si>
  <si>
    <t>DamageMultiplier effect</t>
  </si>
  <si>
    <t>x1.12 damage</t>
  </si>
  <si>
    <t>C-012</t>
  </si>
  <si>
    <t>Quickened Core</t>
  </si>
  <si>
    <t>Simple cadence increase.</t>
  </si>
  <si>
    <t>CooldownMultiplier effect</t>
  </si>
  <si>
    <t>x0.90 cooldown</t>
  </si>
  <si>
    <t>C-013</t>
  </si>
  <si>
    <t>Expanded Shape</t>
  </si>
  <si>
    <t>Simple area increase.</t>
  </si>
  <si>
    <t>AreaMultiplier effect</t>
  </si>
  <si>
    <t>x1.14 area</t>
  </si>
  <si>
    <t>C-014</t>
  </si>
  <si>
    <t>Long Reach</t>
  </si>
  <si>
    <t>Simple range increase.</t>
  </si>
  <si>
    <t>RangeMultiplier effect</t>
  </si>
  <si>
    <t>x1.18 range</t>
  </si>
  <si>
    <t>C-015</t>
  </si>
  <si>
    <t>Accelerated Flight</t>
  </si>
  <si>
    <t>square|circle|pyramid|hypercone|hyperphere</t>
  </si>
  <si>
    <t>Projectile delivery speed increase.</t>
  </si>
  <si>
    <t>ProjectileSpeedMultiplier effect</t>
  </si>
  <si>
    <t>x1.20 projectile speed</t>
  </si>
  <si>
    <t>C-016</t>
  </si>
  <si>
    <t>Lasting Pattern</t>
  </si>
  <si>
    <t>Longer persistent object lifetime.</t>
  </si>
  <si>
    <t>DurationMultiplier effect</t>
  </si>
  <si>
    <t>x1.22 duration</t>
  </si>
  <si>
    <t>C-017</t>
  </si>
  <si>
    <t>Piercing Edge</t>
  </si>
  <si>
    <t>square|circle|pyramid|hypercone</t>
  </si>
  <si>
    <t>Adds extra pass-through.</t>
  </si>
  <si>
    <t>PierceAdd effect</t>
  </si>
  <si>
    <t>+1 pierce</t>
  </si>
  <si>
    <t>C-018</t>
  </si>
  <si>
    <t>Focused Edge</t>
  </si>
  <si>
    <t>Simple crit frequency increase.</t>
  </si>
  <si>
    <t>CritChanceAdd effect</t>
  </si>
  <si>
    <t>+8 crit chance</t>
  </si>
  <si>
    <t>C-019</t>
  </si>
  <si>
    <t>Rupture Crest</t>
  </si>
  <si>
    <t>Simple crit damage increase.</t>
  </si>
  <si>
    <t>CritDamageMultiplier effect</t>
  </si>
  <si>
    <t>x1.25 crit damage</t>
  </si>
  <si>
    <t>C-020</t>
  </si>
  <si>
    <t>Guiding Bias</t>
  </si>
  <si>
    <t>Homing correction increase.</t>
  </si>
  <si>
    <t>HomingStrengthMultiplier effect</t>
  </si>
  <si>
    <t>x1.20 homing strength</t>
  </si>
  <si>
    <t>C-021</t>
  </si>
  <si>
    <t>Reinforced Geometry</t>
  </si>
  <si>
    <t>Tier2 Set</t>
  </si>
  <si>
    <t>Damage plus area package.</t>
  </si>
  <si>
    <t>DamageMultiplier + AreaMultiplier effects</t>
  </si>
  <si>
    <t>x1.15 damage, x1.12 area</t>
  </si>
  <si>
    <t>Proposed: Flawed 75%, Baseline 100%, Enhanced 125%, Flawless 150% of listed values. Keep downside visible at every quality.</t>
  </si>
  <si>
    <t>C-022</t>
  </si>
  <si>
    <t>Heavy Payload</t>
  </si>
  <si>
    <t>circle|hyperphere</t>
  </si>
  <si>
    <t>Big area with slower travel.</t>
  </si>
  <si>
    <t>AreaMultiplier + ProjectileSpeedMultiplier effects</t>
  </si>
  <si>
    <t>x1.35 area, x0.85 projectile speed</t>
  </si>
  <si>
    <t>C-023</t>
  </si>
  <si>
    <t>Overclocked Core</t>
  </si>
  <si>
    <t>Faster cadence with weaker hits.</t>
  </si>
  <si>
    <t>CooldownMultiplier + DamageMultiplier effects</t>
  </si>
  <si>
    <t>x0.72 cooldown, x0.86 damage</t>
  </si>
  <si>
    <t>C-024</t>
  </si>
  <si>
    <t>Extra Output</t>
  </si>
  <si>
    <t>square|hexagon|cube|pyramid|pentachoron|boys</t>
  </si>
  <si>
    <t>Additional instance with less per-hit strength.</t>
  </si>
  <si>
    <t>ProjectileCountAdd + DamageMultiplier effects</t>
  </si>
  <si>
    <t>+1 projectile, x0.76 damage</t>
  </si>
  <si>
    <t>C-025</t>
  </si>
  <si>
    <t>Lancing Spiral</t>
  </si>
  <si>
    <t>square|circle|pyramid</t>
  </si>
  <si>
    <t>Range and passthrough pressure.</t>
  </si>
  <si>
    <t>PierceAdd + RangeMultiplier effects</t>
  </si>
  <si>
    <t>+1 pierce, x1.16 range</t>
  </si>
  <si>
    <t>C-026</t>
  </si>
  <si>
    <t>Predator Lens</t>
  </si>
  <si>
    <t>Guidance and speed package.</t>
  </si>
  <si>
    <t>HomingStrengthMultiplier + ProjectileSpeedMultiplier effects</t>
  </si>
  <si>
    <t>x1.26 homing, x1.15 speed</t>
  </si>
  <si>
    <t>C-027</t>
  </si>
  <si>
    <t>Volitile</t>
  </si>
  <si>
    <t>All player damage causes extra detonation.</t>
  </si>
  <si>
    <t>Custom Tier3 proc behavior</t>
  </si>
  <si>
    <t>50% detonation damage, staged radius</t>
  </si>
  <si>
    <t>Proposed: Flawed 80%, Baseline 100%, Enhanced 120%, Flawless 140% of listed payload values. Do not change mechanics.</t>
  </si>
  <si>
    <t>C-028</t>
  </si>
  <si>
    <t>Echo Chamber</t>
  </si>
  <si>
    <t>Advanced</t>
  </si>
  <si>
    <t>Repeats fired weapon after delay.</t>
  </si>
  <si>
    <t>EchoAfterDelay effect</t>
  </si>
  <si>
    <t>Delay 0.45s, echo power 0.55, count 1</t>
  </si>
  <si>
    <t>C-029</t>
  </si>
  <si>
    <t>Chain Reaction</t>
  </si>
  <si>
    <t>precision|homing|piercing</t>
  </si>
  <si>
    <t>Direct hits arc to nearby enemies.</t>
  </si>
  <si>
    <t>ChainToNearby effect</t>
  </si>
  <si>
    <t>0.45 damage scale, 18 range, 2 chains</t>
  </si>
  <si>
    <t>C-030</t>
  </si>
  <si>
    <t>Lingering Scar</t>
  </si>
  <si>
    <t>Direct hits create short-lived damage zone.</t>
  </si>
  <si>
    <t>LingeringZone effect</t>
  </si>
  <si>
    <t>0.35 scale, 2.8 radius, 2.8s duration</t>
  </si>
  <si>
    <t>C-031</t>
  </si>
  <si>
    <t>Predatory Mark</t>
  </si>
  <si>
    <t>Marked targets take amplified follow-up damage.</t>
  </si>
  <si>
    <t>ApplyMark effect</t>
  </si>
  <si>
    <t>x1.22 mark amp, 4.0s</t>
  </si>
  <si>
    <t>C-032</t>
  </si>
  <si>
    <t>Finisher Gate</t>
  </si>
  <si>
    <t>Extra damage versus low-health targets.</t>
  </si>
  <si>
    <t>ExecuteLowHealth effect</t>
  </si>
  <si>
    <t>0.18 threshold, x1.85 execute, x1.45 boss cap</t>
  </si>
  <si>
    <t>C-033</t>
  </si>
  <si>
    <t>Boss Geometry</t>
  </si>
  <si>
    <t>Elite/boss specialization trade profile.</t>
  </si>
  <si>
    <t>EliteBossHunter effect</t>
  </si>
  <si>
    <t>x1.40 elite/boss, x0.85 normal</t>
  </si>
  <si>
    <t>C-034</t>
  </si>
  <si>
    <t>Wing Man</t>
  </si>
  <si>
    <t>Wing</t>
  </si>
  <si>
    <t>support</t>
  </si>
  <si>
    <t>Escort wing behavior.</t>
  </si>
  <si>
    <t>Wing behavior key</t>
  </si>
  <si>
    <t>Tier3 wing identity</t>
  </si>
  <si>
    <t>C-035</t>
  </si>
  <si>
    <t>Wing Woman</t>
  </si>
  <si>
    <t>Hunter wing behavior.</t>
  </si>
  <si>
    <t>C-036</t>
  </si>
  <si>
    <t>Wing Brother</t>
  </si>
  <si>
    <t>Autonomous roaming wing behavior.</t>
  </si>
  <si>
    <t>C-037</t>
  </si>
  <si>
    <t>Wing Sister</t>
  </si>
  <si>
    <t>Fire-control wing behavior.</t>
  </si>
  <si>
    <t>Proposed</t>
  </si>
  <si>
    <t>Current identities loaded</t>
  </si>
  <si>
    <t>Proposed identities loaded</t>
  </si>
  <si>
    <t>Combined identities loaded</t>
  </si>
  <si>
    <t>Purity Reactor</t>
  </si>
  <si>
    <t>Greatly amplifies the weapon’s final damage, but all numeric effects added by other modulators apply at half strength.</t>
  </si>
  <si>
    <t>Final Multiplicative Change + Contribution Multiplicative Change</t>
  </si>
  <si>
    <t>Upside: 1.70 Final Damage. Drawback: x0.50 Stat Scaling.</t>
  </si>
  <si>
    <t>T3-C03</t>
  </si>
  <si>
    <t>T3-C08</t>
  </si>
  <si>
    <t>Hypercycle Core</t>
  </si>
  <si>
    <t>Behavioral Transformation + Final Multiplicative Change</t>
  </si>
  <si>
    <t>Converts the weapon into an extreme rapid-cycle form while reducing per-activation damage and proc contribution.</t>
  </si>
  <si>
    <t>x0.20 cooldown; x0.24 final damage; x0.40 proc contribution</t>
  </si>
  <si>
    <t>Quality scales final damage from x0.16 to x0.28. Flawed produces approximately x0.80 raw sustained DPS, Standard x1.00, Refined x1.20, Pristine x1.30, and Flawless x1.40. Cooldown remains fixed at x0.20 and proc contribution remains fixed at x0.40.</t>
  </si>
  <si>
    <t>…</t>
  </si>
  <si>
    <t>T3-C09</t>
  </si>
  <si>
    <t>Singularity Chamber</t>
  </si>
  <si>
    <t>Greatly slows weapon activation but massively increases the damage of each activation, concentrating the weapon into rare, heavy attacks.</t>
  </si>
  <si>
    <t>x5.00 cooldown; x6.00 final damage; x2.00 proc contribution</t>
  </si>
  <si>
    <r>
      <t xml:space="preserve">Quality scales final damage while cooldown and proc contribution remain fixed. Flawed: </t>
    </r>
    <r>
      <rPr>
        <sz val="10"/>
        <color theme="1"/>
        <rFont val="Arial Unicode MS"/>
      </rPr>
      <t>x4.00</t>
    </r>
    <r>
      <rPr>
        <sz val="11"/>
        <color theme="1"/>
        <rFont val="Aptos Narrow"/>
        <family val="2"/>
        <scheme val="minor"/>
      </rPr>
      <t xml:space="preserve"> damage for approximately </t>
    </r>
    <r>
      <rPr>
        <sz val="10"/>
        <color theme="1"/>
        <rFont val="Arial Unicode MS"/>
      </rPr>
      <t>x0.80</t>
    </r>
    <r>
      <rPr>
        <sz val="11"/>
        <color theme="1"/>
        <rFont val="Aptos Narrow"/>
        <family val="2"/>
        <scheme val="minor"/>
      </rPr>
      <t xml:space="preserve"> raw DPS. Standard: </t>
    </r>
    <r>
      <rPr>
        <sz val="10"/>
        <color theme="1"/>
        <rFont val="Arial Unicode MS"/>
      </rPr>
      <t>x5.00</t>
    </r>
    <r>
      <rPr>
        <sz val="11"/>
        <color theme="1"/>
        <rFont val="Aptos Narrow"/>
        <family val="2"/>
        <scheme val="minor"/>
      </rPr>
      <t xml:space="preserve"> damage for </t>
    </r>
    <r>
      <rPr>
        <sz val="10"/>
        <color theme="1"/>
        <rFont val="Arial Unicode MS"/>
      </rPr>
      <t>x1.00</t>
    </r>
    <r>
      <rPr>
        <sz val="11"/>
        <color theme="1"/>
        <rFont val="Aptos Narrow"/>
        <family val="2"/>
        <scheme val="minor"/>
      </rPr>
      <t xml:space="preserve"> DPS. Refined: </t>
    </r>
    <r>
      <rPr>
        <sz val="10"/>
        <color theme="1"/>
        <rFont val="Arial Unicode MS"/>
      </rPr>
      <t>x6.00</t>
    </r>
    <r>
      <rPr>
        <sz val="11"/>
        <color theme="1"/>
        <rFont val="Aptos Narrow"/>
        <family val="2"/>
        <scheme val="minor"/>
      </rPr>
      <t xml:space="preserve"> damage for </t>
    </r>
    <r>
      <rPr>
        <sz val="10"/>
        <color theme="1"/>
        <rFont val="Arial Unicode MS"/>
      </rPr>
      <t>x1.20</t>
    </r>
    <r>
      <rPr>
        <sz val="11"/>
        <color theme="1"/>
        <rFont val="Aptos Narrow"/>
        <family val="2"/>
        <scheme val="minor"/>
      </rPr>
      <t xml:space="preserve"> DPS. Pristine: </t>
    </r>
    <r>
      <rPr>
        <sz val="10"/>
        <color theme="1"/>
        <rFont val="Arial Unicode MS"/>
      </rPr>
      <t>x6.50</t>
    </r>
    <r>
      <rPr>
        <sz val="11"/>
        <color theme="1"/>
        <rFont val="Aptos Narrow"/>
        <family val="2"/>
        <scheme val="minor"/>
      </rPr>
      <t xml:space="preserve"> damage for </t>
    </r>
    <r>
      <rPr>
        <sz val="10"/>
        <color theme="1"/>
        <rFont val="Arial Unicode MS"/>
      </rPr>
      <t>x1.30</t>
    </r>
    <r>
      <rPr>
        <sz val="11"/>
        <color theme="1"/>
        <rFont val="Aptos Narrow"/>
        <family val="2"/>
        <scheme val="minor"/>
      </rPr>
      <t xml:space="preserve"> DPS. Flawless: </t>
    </r>
    <r>
      <rPr>
        <sz val="10"/>
        <color theme="1"/>
        <rFont val="Arial Unicode MS"/>
      </rPr>
      <t>x7.00</t>
    </r>
    <r>
      <rPr>
        <sz val="11"/>
        <color theme="1"/>
        <rFont val="Aptos Narrow"/>
        <family val="2"/>
        <scheme val="minor"/>
      </rPr>
      <t xml:space="preserve"> damage for </t>
    </r>
    <r>
      <rPr>
        <sz val="10"/>
        <color theme="1"/>
        <rFont val="Arial Unicode MS"/>
      </rPr>
      <t>x1.40</t>
    </r>
    <r>
      <rPr>
        <sz val="11"/>
        <color theme="1"/>
        <rFont val="Aptos Narrow"/>
        <family val="2"/>
        <scheme val="minor"/>
      </rPr>
      <t xml:space="preserve"> DPS.</t>
    </r>
  </si>
  <si>
    <t>Activation-based effects are concentrated into each attack. Do not multiply proc frequency or persistent-effect tick damage by x5.00. Beams, auras, and zones scale total activation damage only.</t>
  </si>
  <si>
    <t>T3-C10</t>
  </si>
  <si>
    <t>Covenant Core</t>
  </si>
  <si>
    <t>Permanently seals the weapon and records its current permanent stats. The recorded values are reduced according to quality and become protected boundaries that future penalties cannot cross. Covenant Core and all current and future modulators become permanently bound to the weapon.</t>
  </si>
  <si>
    <t>Snapshot Stat Clamp + Permanent Binding</t>
  </si>
  <si>
    <t>x0.75 snapshot stat boundary</t>
  </si>
  <si>
    <r>
      <t xml:space="preserve">Quality scales the protected snapshot boundary. Flawed: </t>
    </r>
    <r>
      <rPr>
        <sz val="10"/>
        <color theme="1"/>
        <rFont val="Arial Unicode MS"/>
      </rPr>
      <t>x0.70</t>
    </r>
    <r>
      <rPr>
        <sz val="11"/>
        <color theme="1"/>
        <rFont val="Aptos Narrow"/>
        <family val="2"/>
        <scheme val="minor"/>
      </rPr>
      <t xml:space="preserve">. Standard: </t>
    </r>
    <r>
      <rPr>
        <sz val="10"/>
        <color theme="1"/>
        <rFont val="Arial Unicode MS"/>
      </rPr>
      <t>x0.75</t>
    </r>
    <r>
      <rPr>
        <sz val="11"/>
        <color theme="1"/>
        <rFont val="Aptos Narrow"/>
        <family val="2"/>
        <scheme val="minor"/>
      </rPr>
      <t xml:space="preserve">. Refined: </t>
    </r>
    <r>
      <rPr>
        <sz val="10"/>
        <color theme="1"/>
        <rFont val="Arial Unicode MS"/>
      </rPr>
      <t>x0.80</t>
    </r>
    <r>
      <rPr>
        <sz val="11"/>
        <color theme="1"/>
        <rFont val="Aptos Narrow"/>
        <family val="2"/>
        <scheme val="minor"/>
      </rPr>
      <t xml:space="preserve">. Pristine: </t>
    </r>
    <r>
      <rPr>
        <sz val="10"/>
        <color theme="1"/>
        <rFont val="Arial Unicode MS"/>
      </rPr>
      <t>x0.85</t>
    </r>
    <r>
      <rPr>
        <sz val="11"/>
        <color theme="1"/>
        <rFont val="Aptos Narrow"/>
        <family val="2"/>
        <scheme val="minor"/>
      </rPr>
      <t xml:space="preserve">. Flawless: </t>
    </r>
    <r>
      <rPr>
        <sz val="10"/>
        <color theme="1"/>
        <rFont val="Arial Unicode MS"/>
      </rPr>
      <t>x0.90</t>
    </r>
    <r>
      <rPr>
        <sz val="11"/>
        <color theme="1"/>
        <rFont val="Aptos Narrow"/>
        <family val="2"/>
        <scheme val="minor"/>
      </rPr>
      <t>.</t>
    </r>
  </si>
  <si>
    <t>Snapshot permanent weapon-local stats only. Exclude temporary buffs, enemy debuffs, arena effects, low-health bonuses, and temporary essence effects. Higher-is-better stats use a minimum floor. Cooldown and other lower-is-better stats use an equivalent maximum boundary. The final resolved stat is clamped directly so future tradeoff penalties can intentionally be circumvented. Needs Runtime Hook</t>
  </si>
  <si>
    <t>Unadded Mechanics Checkoff</t>
  </si>
  <si>
    <t>Use [x] when a mechanic has been added and verified in code.</t>
  </si>
  <si>
    <t>Updated (local):</t>
  </si>
  <si>
    <t>Mechanics total</t>
  </si>
  <si>
    <t>Affected rows</t>
  </si>
  <si>
    <t>Checkoff</t>
  </si>
  <si>
    <t>ImplementedStatus</t>
  </si>
  <si>
    <t>VerifiedInCodeFiles</t>
  </si>
  <si>
    <t>DateChecked</t>
  </si>
  <si>
    <t>AffectedRows</t>
  </si>
  <si>
    <t>ExampleRowIds</t>
  </si>
  <si>
    <t>[ ]</t>
  </si>
  <si>
    <t>Not Added</t>
  </si>
  <si>
    <t>T3-C08, T3-C09</t>
  </si>
  <si>
    <t>T3-X06, T3-X08, T3-X15, T3-X01, T3-X11, T3-X05, T3-X04, T3-X14</t>
  </si>
  <si>
    <t>Rows Using Unadded Mechanics</t>
  </si>
  <si>
    <t>HookStatus</t>
  </si>
  <si>
    <t>CodeVerified</t>
  </si>
  <si>
    <t>Needs Hook</t>
  </si>
  <si>
    <t>Validation</t>
  </si>
  <si>
    <t>[x]</t>
  </si>
  <si>
    <t>In Progress</t>
  </si>
  <si>
    <t>Added</t>
  </si>
  <si>
    <t>Verified In 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</si>
</sst>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4"/>
      <color theme="1"/>
      <name val="Aptos Narrow"/>
      <family val="2"/>
      <scheme val="minor"/>
    </font>
    <font>
      <sz val="10"/>
      <color theme="1"/>
      <name val="Arial Unicode MS"/>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26"/>
        <bgColor indexed="64"/>
      </patternFill>
    </fill>
    <fill>
      <patternFill patternType="solid">
        <fgColor indexed="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1" fillId="0" borderId="0" xfId="0" applyFont="1"/>
    <xf numFmtId="0" fontId="1" fillId="2" borderId="1" xfId="0" applyFont="1" applyFill="1" applyBorder="1" applyAlignment="1">
      <alignment wrapText="1"/>
    </xf>
    <xf numFmtId="0" fontId="1" fillId="3" borderId="1" xfId="0" applyFont="1" applyFill="1" applyBorder="1" applyAlignment="1">
      <alignment wrapText="1"/>
    </xf>
    <xf numFmtId="0" fontId="0" fillId="0" borderId="1" xfId="0"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2" fillId="0" borderId="0" xfId="0" applyFont="1" applyAlignment="1">
      <alignment wrapText="1"/>
    </xf>
    <xf numFmtId="0" fontId="0" fillId="0" borderId="0" xfId="0" applyAlignment="1">
      <alignment wrapText="1"/>
    </xf>
    <xf numFmtId="0" fontId="1" fillId="0" borderId="0" xfId="0" applyFont="1" applyAlignment="1">
      <alignment wrapText="1"/>
    </xf>
    <xf numFmtId="0" fontId="1" fillId="2" borderId="0" xfId="0" applyFont="1" applyFill="1" applyAlignment="1">
      <alignment wrapText="1"/>
    </xf>
    <xf numFmtId="0" fontId="0" fillId="0" borderId="2" xfId="0" applyBorder="1" applyAlignment="1">
      <alignment wrapText="1"/>
    </xf>
    <xf numFmtId="0" fontId="0" fillId="0" borderId="3" xfId="0" applyBorder="1" applyAlignment="1">
      <alignmen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0" fillId="0" borderId="7" xfId="0" applyBorder="1" applyAlignment="1">
      <alignment wrapText="1"/>
    </xf>
    <xf numFmtId="0" fontId="0" fillId="4" borderId="8" xfId="0" applyFill="1"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 xfId="0" applyBorder="1"/>
    <xf numFmtId="22" fontId="0" fillId="0" borderId="0" xfId="0" applyNumberFormat="1" applyAlignment="1">
      <alignment wrapText="1"/>
    </xf>
  </cellXfs>
  <cellStyles count="1">
    <cellStyle name="Normal" xfId="0" builtinId="0"/>
  </cellStyles>
  <dxfs count="17">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indexed="2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indexed="22"/>
        </patternFill>
      </fill>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069BAB-DB95-495C-9850-0D66BF81BC73}" name="Table1" displayName="Table1" ref="A1:L101" totalsRowShown="0" headerRowDxfId="16" dataDxfId="14" headerRowBorderDxfId="15" tableBorderDxfId="13" totalsRowBorderDxfId="12">
  <autoFilter ref="A1:L101" xr:uid="{D8069BAB-DB95-495C-9850-0D66BF81BC73}"/>
  <sortState xmlns:xlrd2="http://schemas.microsoft.com/office/spreadsheetml/2017/richdata2" ref="A2:L101">
    <sortCondition ref="D1:D101"/>
  </sortState>
  <tableColumns count="12">
    <tableColumn id="1" xr3:uid="{F386F238-1AA4-4F03-896D-B454885D4486}" name="IdentityId" dataDxfId="11"/>
    <tableColumn id="2" xr3:uid="{7147ACBD-AC1A-4DC9-9BAB-58F5B43DF59F}" name="CatalogStatus" dataDxfId="10"/>
    <tableColumn id="3" xr3:uid="{6FCB07A6-2B68-42B4-9619-0A9CC3F76EAF}" name="Tier" dataDxfId="9"/>
    <tableColumn id="4" xr3:uid="{E468E031-7F16-43D2-9CA0-8D2529D22984}" name="Name" dataDxfId="8"/>
    <tableColumn id="5" xr3:uid="{8036DC61-E49B-4B11-B875-E0FF59DD9124}" name="SourceBucket" dataDxfId="7"/>
    <tableColumn id="6" xr3:uid="{227CD18E-AEC5-4230-BDA2-940061A84925}" name="Eligibility" dataDxfId="6"/>
    <tableColumn id="7" xr3:uid="{5E0517E5-77B9-44FD-B67B-8F0807D1C342}" name="TargetWeaponOrTag" dataDxfId="5"/>
    <tableColumn id="8" xr3:uid="{5E21D35E-9F64-4308-8F2F-BEE937AD074C}" name="EffectSummary" dataDxfId="4"/>
    <tableColumn id="9" xr3:uid="{B96414EF-6FD2-4FDB-B47E-66BFD72B7675}" name="MechanicType" dataDxfId="3"/>
    <tableColumn id="10" xr3:uid="{DB2C783B-EF61-4D82-8966-0BCFC680EC89}" name="BaselineNumbers" dataDxfId="2"/>
    <tableColumn id="11" xr3:uid="{AC8E0A37-655E-4451-98E8-090F7AC21C5E}" name="QualitySuggestion" dataDxfId="1"/>
    <tableColumn id="12" xr3:uid="{D16A62C4-788E-4B0A-85F6-22364B7CB524}"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AD985-2562-48CE-BF76-BB7102333CA0}">
  <dimension ref="A1:D21"/>
  <sheetViews>
    <sheetView workbookViewId="0"/>
  </sheetViews>
  <sheetFormatPr defaultRowHeight="15"/>
  <cols>
    <col min="1" max="1" width="63.140625" bestFit="1" customWidth="1"/>
    <col min="2" max="2" width="84.42578125" bestFit="1" customWidth="1"/>
    <col min="3" max="3" width="6.42578125" bestFit="1" customWidth="1"/>
    <col min="4" max="4" width="10.42578125" bestFit="1" customWidth="1"/>
  </cols>
  <sheetData>
    <row r="1" spans="1:4">
      <c r="A1" s="1" t="s">
        <v>0</v>
      </c>
      <c r="B1" s="1"/>
    </row>
    <row r="2" spans="1:4">
      <c r="A2" t="s">
        <v>1</v>
      </c>
    </row>
    <row r="3" spans="1:4">
      <c r="A3" t="s">
        <v>2</v>
      </c>
    </row>
    <row r="4" spans="1:4">
      <c r="A4" t="s">
        <v>3</v>
      </c>
    </row>
    <row r="5" spans="1:4">
      <c r="A5" t="s">
        <v>4</v>
      </c>
    </row>
    <row r="6" spans="1:4">
      <c r="A6" s="1" t="s">
        <v>5</v>
      </c>
      <c r="B6" s="1" t="s">
        <v>6</v>
      </c>
      <c r="C6" s="1" t="s">
        <v>7</v>
      </c>
      <c r="D6" s="1" t="s">
        <v>8</v>
      </c>
    </row>
    <row r="7" spans="1:4">
      <c r="A7" t="s">
        <v>9</v>
      </c>
      <c r="B7">
        <v>20</v>
      </c>
      <c r="C7">
        <v>30</v>
      </c>
      <c r="D7">
        <f>C7-B7</f>
        <v>10</v>
      </c>
    </row>
    <row r="8" spans="1:4">
      <c r="A8" t="s">
        <v>10</v>
      </c>
      <c r="B8">
        <v>6</v>
      </c>
      <c r="C8">
        <v>40</v>
      </c>
      <c r="D8">
        <f>C8-B8</f>
        <v>34</v>
      </c>
    </row>
    <row r="9" spans="1:4">
      <c r="A9" t="s">
        <v>11</v>
      </c>
      <c r="B9">
        <v>11</v>
      </c>
      <c r="C9">
        <v>30</v>
      </c>
      <c r="D9">
        <f>C9-B9</f>
        <v>19</v>
      </c>
    </row>
    <row r="10" spans="1:4">
      <c r="A10" s="1" t="s">
        <v>12</v>
      </c>
      <c r="B10" s="1">
        <f>SUM(B7:B9)</f>
        <v>37</v>
      </c>
      <c r="C10" s="1">
        <f>SUM(C7:C9)</f>
        <v>100</v>
      </c>
      <c r="D10" s="1">
        <f>SUM(D7:D9)</f>
        <v>63</v>
      </c>
    </row>
    <row r="12" spans="1:4">
      <c r="A12" t="s">
        <v>13</v>
      </c>
    </row>
    <row r="13" spans="1:4">
      <c r="A13" t="s">
        <v>14</v>
      </c>
      <c r="B13">
        <f>COUNTIF(Remaining_63!B:B,"Tier1")</f>
        <v>10</v>
      </c>
      <c r="D13">
        <f>COUNTIF(Current_And_Proposed!C:C,"Tier1")</f>
        <v>30</v>
      </c>
    </row>
    <row r="14" spans="1:4">
      <c r="A14" t="s">
        <v>15</v>
      </c>
      <c r="B14">
        <f>COUNTIF(Remaining_63!B:B,"Tier2")</f>
        <v>34</v>
      </c>
      <c r="D14">
        <f>COUNTIF(Current_And_Proposed!C:C,"Tier2")</f>
        <v>36</v>
      </c>
    </row>
    <row r="15" spans="1:4">
      <c r="A15" t="s">
        <v>16</v>
      </c>
      <c r="B15">
        <f>COUNTIF(Remaining_63!B:B,"Tier3")</f>
        <v>19</v>
      </c>
      <c r="D15">
        <f>COUNTIF(Current_And_Proposed!C:C,"Tier3")</f>
        <v>34</v>
      </c>
    </row>
    <row r="17" spans="1:2">
      <c r="A17" s="1" t="s">
        <v>17</v>
      </c>
      <c r="B17" t="s">
        <v>18</v>
      </c>
    </row>
    <row r="18" spans="1:2">
      <c r="A18" s="1" t="s">
        <v>19</v>
      </c>
      <c r="B18" t="s">
        <v>20</v>
      </c>
    </row>
    <row r="19" spans="1:2">
      <c r="A19" s="1" t="s">
        <v>772</v>
      </c>
      <c r="B19">
        <v>37</v>
      </c>
    </row>
    <row r="20" spans="1:2">
      <c r="A20" s="1" t="s">
        <v>773</v>
      </c>
      <c r="B20">
        <v>63</v>
      </c>
    </row>
    <row r="21" spans="1:2">
      <c r="A21" s="1" t="s">
        <v>774</v>
      </c>
      <c r="B21">
        <f>B19+B20</f>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146EE-B1DE-4A88-8DD9-F748FC141609}">
  <dimension ref="A1:P64"/>
  <sheetViews>
    <sheetView workbookViewId="0">
      <pane ySplit="1" topLeftCell="A2" activePane="bottomLeft" state="frozenSplit"/>
      <selection pane="bottomLeft"/>
    </sheetView>
  </sheetViews>
  <sheetFormatPr defaultRowHeight="15"/>
  <cols>
    <col min="1" max="1" width="8.85546875" bestFit="1" customWidth="1"/>
    <col min="2" max="2" width="6.7109375" bestFit="1" customWidth="1"/>
    <col min="3" max="3" width="9.42578125" bestFit="1" customWidth="1"/>
    <col min="4" max="4" width="10.7109375" bestFit="1" customWidth="1"/>
    <col min="5" max="5" width="11" bestFit="1" customWidth="1"/>
    <col min="6" max="6" width="10.85546875" bestFit="1" customWidth="1"/>
    <col min="7" max="7" width="11" bestFit="1" customWidth="1"/>
    <col min="8" max="8" width="11.42578125" bestFit="1" customWidth="1"/>
    <col min="9" max="10" width="11" bestFit="1" customWidth="1"/>
    <col min="11" max="11" width="9.85546875" bestFit="1" customWidth="1"/>
    <col min="12" max="12" width="11" bestFit="1" customWidth="1"/>
    <col min="13" max="13" width="11.42578125" bestFit="1" customWidth="1"/>
    <col min="14" max="15" width="11.140625" bestFit="1" customWidth="1"/>
    <col min="16" max="16" width="9" bestFit="1" customWidth="1"/>
  </cols>
  <sheetData>
    <row r="1" spans="1:16" ht="45">
      <c r="A1" s="2" t="s">
        <v>21</v>
      </c>
      <c r="B1" s="2" t="s">
        <v>5</v>
      </c>
      <c r="C1" s="2" t="s">
        <v>22</v>
      </c>
      <c r="D1" s="2" t="s">
        <v>23</v>
      </c>
      <c r="E1" s="2" t="s">
        <v>24</v>
      </c>
      <c r="F1" s="2" t="s">
        <v>25</v>
      </c>
      <c r="G1" s="2" t="s">
        <v>26</v>
      </c>
      <c r="H1" s="2" t="s">
        <v>27</v>
      </c>
      <c r="I1" s="2" t="s">
        <v>28</v>
      </c>
      <c r="J1" s="2" t="s">
        <v>29</v>
      </c>
      <c r="K1" s="2" t="s">
        <v>30</v>
      </c>
      <c r="L1" s="2" t="s">
        <v>31</v>
      </c>
      <c r="M1" s="3" t="s">
        <v>32</v>
      </c>
      <c r="N1" s="3" t="s">
        <v>33</v>
      </c>
      <c r="O1" s="3" t="s">
        <v>34</v>
      </c>
      <c r="P1" s="3" t="s">
        <v>35</v>
      </c>
    </row>
    <row r="2" spans="1:16" ht="165">
      <c r="A2" s="4" t="s">
        <v>36</v>
      </c>
      <c r="B2" s="4" t="s">
        <v>9</v>
      </c>
      <c r="C2" s="4" t="s">
        <v>37</v>
      </c>
      <c r="D2" s="4" t="s">
        <v>38</v>
      </c>
      <c r="E2" s="4" t="s">
        <v>39</v>
      </c>
      <c r="F2" s="4" t="s">
        <v>40</v>
      </c>
      <c r="G2" s="4" t="s">
        <v>41</v>
      </c>
      <c r="H2" s="4" t="s">
        <v>42</v>
      </c>
      <c r="I2" s="4" t="s">
        <v>43</v>
      </c>
      <c r="J2" s="4" t="s">
        <v>44</v>
      </c>
      <c r="K2" s="4" t="s">
        <v>45</v>
      </c>
      <c r="L2" s="4" t="s">
        <v>46</v>
      </c>
      <c r="M2" s="5"/>
      <c r="N2" s="5"/>
      <c r="O2" s="5"/>
      <c r="P2" s="5"/>
    </row>
    <row r="3" spans="1:16" ht="75">
      <c r="A3" s="4" t="s">
        <v>47</v>
      </c>
      <c r="B3" s="4" t="s">
        <v>9</v>
      </c>
      <c r="C3" s="4" t="s">
        <v>37</v>
      </c>
      <c r="D3" s="4" t="s">
        <v>38</v>
      </c>
      <c r="E3" s="4" t="s">
        <v>39</v>
      </c>
      <c r="F3" s="4" t="s">
        <v>48</v>
      </c>
      <c r="G3" s="4" t="s">
        <v>49</v>
      </c>
      <c r="H3" s="4" t="s">
        <v>50</v>
      </c>
      <c r="I3" s="4" t="s">
        <v>51</v>
      </c>
      <c r="J3" s="4" t="s">
        <v>52</v>
      </c>
      <c r="K3" s="4" t="s">
        <v>45</v>
      </c>
      <c r="L3" s="4" t="s">
        <v>46</v>
      </c>
      <c r="M3" s="5"/>
      <c r="N3" s="5"/>
      <c r="O3" s="5"/>
      <c r="P3" s="5"/>
    </row>
    <row r="4" spans="1:16" ht="90">
      <c r="A4" s="4" t="s">
        <v>53</v>
      </c>
      <c r="B4" s="4" t="s">
        <v>9</v>
      </c>
      <c r="C4" s="4" t="s">
        <v>37</v>
      </c>
      <c r="D4" s="4" t="s">
        <v>38</v>
      </c>
      <c r="E4" s="4" t="s">
        <v>39</v>
      </c>
      <c r="F4" s="4" t="s">
        <v>54</v>
      </c>
      <c r="G4" s="4" t="s">
        <v>55</v>
      </c>
      <c r="H4" s="4" t="s">
        <v>56</v>
      </c>
      <c r="I4" s="4" t="s">
        <v>57</v>
      </c>
      <c r="J4" s="4" t="s">
        <v>58</v>
      </c>
      <c r="K4" s="4" t="s">
        <v>45</v>
      </c>
      <c r="L4" s="4" t="s">
        <v>46</v>
      </c>
      <c r="M4" s="5"/>
      <c r="N4" s="5"/>
      <c r="O4" s="5"/>
      <c r="P4" s="5"/>
    </row>
    <row r="5" spans="1:16" ht="90">
      <c r="A5" s="4" t="s">
        <v>59</v>
      </c>
      <c r="B5" s="4" t="s">
        <v>9</v>
      </c>
      <c r="C5" s="4" t="s">
        <v>37</v>
      </c>
      <c r="D5" s="4" t="s">
        <v>38</v>
      </c>
      <c r="E5" s="4" t="s">
        <v>39</v>
      </c>
      <c r="F5" s="4" t="s">
        <v>60</v>
      </c>
      <c r="G5" s="4" t="s">
        <v>61</v>
      </c>
      <c r="H5" s="4" t="s">
        <v>62</v>
      </c>
      <c r="I5" s="4" t="s">
        <v>63</v>
      </c>
      <c r="J5" s="4" t="s">
        <v>64</v>
      </c>
      <c r="K5" s="4" t="s">
        <v>45</v>
      </c>
      <c r="L5" s="4" t="s">
        <v>46</v>
      </c>
      <c r="M5" s="5"/>
      <c r="N5" s="5"/>
      <c r="O5" s="5"/>
      <c r="P5" s="5"/>
    </row>
    <row r="6" spans="1:16" ht="90">
      <c r="A6" s="4" t="s">
        <v>65</v>
      </c>
      <c r="B6" s="4" t="s">
        <v>9</v>
      </c>
      <c r="C6" s="4" t="s">
        <v>66</v>
      </c>
      <c r="D6" s="4" t="s">
        <v>67</v>
      </c>
      <c r="E6" s="4" t="s">
        <v>68</v>
      </c>
      <c r="F6" s="4" t="s">
        <v>69</v>
      </c>
      <c r="G6" s="4" t="s">
        <v>70</v>
      </c>
      <c r="H6" s="4" t="s">
        <v>71</v>
      </c>
      <c r="I6" s="4" t="s">
        <v>72</v>
      </c>
      <c r="J6" s="4" t="s">
        <v>73</v>
      </c>
      <c r="K6" s="4" t="s">
        <v>45</v>
      </c>
      <c r="L6" s="4" t="s">
        <v>74</v>
      </c>
      <c r="M6" s="5"/>
      <c r="N6" s="5"/>
      <c r="O6" s="5"/>
      <c r="P6" s="5"/>
    </row>
    <row r="7" spans="1:16" ht="120">
      <c r="A7" s="4" t="s">
        <v>75</v>
      </c>
      <c r="B7" s="4" t="s">
        <v>9</v>
      </c>
      <c r="C7" s="4" t="s">
        <v>66</v>
      </c>
      <c r="D7" s="4" t="s">
        <v>67</v>
      </c>
      <c r="E7" s="4" t="s">
        <v>76</v>
      </c>
      <c r="F7" s="4" t="s">
        <v>77</v>
      </c>
      <c r="G7" s="4" t="s">
        <v>78</v>
      </c>
      <c r="H7" s="4" t="s">
        <v>79</v>
      </c>
      <c r="I7" s="4" t="s">
        <v>80</v>
      </c>
      <c r="J7" s="4" t="s">
        <v>81</v>
      </c>
      <c r="K7" s="4" t="s">
        <v>45</v>
      </c>
      <c r="L7" s="4" t="s">
        <v>82</v>
      </c>
      <c r="M7" s="5"/>
      <c r="N7" s="5"/>
      <c r="O7" s="5"/>
      <c r="P7" s="5"/>
    </row>
    <row r="8" spans="1:16" ht="90">
      <c r="A8" s="4" t="s">
        <v>83</v>
      </c>
      <c r="B8" s="4" t="s">
        <v>9</v>
      </c>
      <c r="C8" s="4" t="s">
        <v>66</v>
      </c>
      <c r="D8" s="4" t="s">
        <v>67</v>
      </c>
      <c r="E8" s="4" t="s">
        <v>84</v>
      </c>
      <c r="F8" s="4" t="s">
        <v>85</v>
      </c>
      <c r="G8" s="4" t="s">
        <v>86</v>
      </c>
      <c r="H8" s="4" t="s">
        <v>87</v>
      </c>
      <c r="I8" s="4" t="s">
        <v>88</v>
      </c>
      <c r="J8" s="4" t="s">
        <v>89</v>
      </c>
      <c r="K8" s="4" t="s">
        <v>45</v>
      </c>
      <c r="L8" s="4" t="s">
        <v>90</v>
      </c>
      <c r="M8" s="5"/>
      <c r="N8" s="5"/>
      <c r="O8" s="5"/>
      <c r="P8" s="5"/>
    </row>
    <row r="9" spans="1:16" ht="90">
      <c r="A9" s="4" t="s">
        <v>91</v>
      </c>
      <c r="B9" s="4" t="s">
        <v>9</v>
      </c>
      <c r="C9" s="4" t="s">
        <v>66</v>
      </c>
      <c r="D9" s="4" t="s">
        <v>67</v>
      </c>
      <c r="E9" s="4" t="s">
        <v>92</v>
      </c>
      <c r="F9" s="4" t="s">
        <v>93</v>
      </c>
      <c r="G9" s="4" t="s">
        <v>94</v>
      </c>
      <c r="H9" s="4" t="s">
        <v>95</v>
      </c>
      <c r="I9" s="4" t="s">
        <v>96</v>
      </c>
      <c r="J9" s="4" t="s">
        <v>97</v>
      </c>
      <c r="K9" s="4" t="s">
        <v>45</v>
      </c>
      <c r="L9" s="4" t="s">
        <v>98</v>
      </c>
      <c r="M9" s="5"/>
      <c r="N9" s="5"/>
      <c r="O9" s="5"/>
      <c r="P9" s="5"/>
    </row>
    <row r="10" spans="1:16" ht="105">
      <c r="A10" s="4" t="s">
        <v>99</v>
      </c>
      <c r="B10" s="4" t="s">
        <v>9</v>
      </c>
      <c r="C10" s="4" t="s">
        <v>66</v>
      </c>
      <c r="D10" s="4" t="s">
        <v>67</v>
      </c>
      <c r="E10" s="4" t="s">
        <v>100</v>
      </c>
      <c r="F10" s="4" t="s">
        <v>101</v>
      </c>
      <c r="G10" s="4" t="s">
        <v>102</v>
      </c>
      <c r="H10" s="4" t="s">
        <v>103</v>
      </c>
      <c r="I10" s="4" t="s">
        <v>104</v>
      </c>
      <c r="J10" s="4" t="s">
        <v>81</v>
      </c>
      <c r="K10" s="4" t="s">
        <v>45</v>
      </c>
      <c r="L10" s="4" t="s">
        <v>105</v>
      </c>
      <c r="M10" s="5"/>
      <c r="N10" s="5"/>
      <c r="O10" s="5"/>
      <c r="P10" s="5"/>
    </row>
    <row r="11" spans="1:16" ht="105">
      <c r="A11" s="4" t="s">
        <v>106</v>
      </c>
      <c r="B11" s="4" t="s">
        <v>9</v>
      </c>
      <c r="C11" s="4" t="s">
        <v>107</v>
      </c>
      <c r="D11" s="4" t="s">
        <v>38</v>
      </c>
      <c r="E11" s="4" t="s">
        <v>39</v>
      </c>
      <c r="F11" s="4" t="s">
        <v>108</v>
      </c>
      <c r="G11" s="4" t="s">
        <v>109</v>
      </c>
      <c r="H11" s="4" t="s">
        <v>110</v>
      </c>
      <c r="I11" s="4" t="s">
        <v>111</v>
      </c>
      <c r="J11" s="4" t="s">
        <v>112</v>
      </c>
      <c r="K11" s="4" t="s">
        <v>113</v>
      </c>
      <c r="L11" s="4" t="s">
        <v>114</v>
      </c>
      <c r="M11" s="5"/>
      <c r="N11" s="5"/>
      <c r="O11" s="5"/>
      <c r="P11" s="5"/>
    </row>
    <row r="12" spans="1:16" ht="120">
      <c r="A12" s="4" t="s">
        <v>115</v>
      </c>
      <c r="B12" s="4" t="s">
        <v>10</v>
      </c>
      <c r="C12" s="4" t="s">
        <v>116</v>
      </c>
      <c r="D12" s="4" t="s">
        <v>38</v>
      </c>
      <c r="E12" s="4" t="s">
        <v>39</v>
      </c>
      <c r="F12" s="4" t="s">
        <v>117</v>
      </c>
      <c r="G12" s="4" t="s">
        <v>118</v>
      </c>
      <c r="H12" s="4" t="s">
        <v>119</v>
      </c>
      <c r="I12" s="4" t="s">
        <v>120</v>
      </c>
      <c r="J12" s="4" t="s">
        <v>121</v>
      </c>
      <c r="K12" s="4" t="s">
        <v>122</v>
      </c>
      <c r="L12" s="4" t="s">
        <v>123</v>
      </c>
      <c r="M12" s="5"/>
      <c r="N12" s="5"/>
      <c r="O12" s="5"/>
      <c r="P12" s="5"/>
    </row>
    <row r="13" spans="1:16" ht="120">
      <c r="A13" s="4" t="s">
        <v>124</v>
      </c>
      <c r="B13" s="4" t="s">
        <v>10</v>
      </c>
      <c r="C13" s="4" t="s">
        <v>116</v>
      </c>
      <c r="D13" s="4" t="s">
        <v>38</v>
      </c>
      <c r="E13" s="4" t="s">
        <v>39</v>
      </c>
      <c r="F13" s="4" t="s">
        <v>125</v>
      </c>
      <c r="G13" s="4" t="s">
        <v>126</v>
      </c>
      <c r="H13" s="4" t="s">
        <v>127</v>
      </c>
      <c r="I13" s="4" t="s">
        <v>128</v>
      </c>
      <c r="J13" s="4" t="s">
        <v>129</v>
      </c>
      <c r="K13" s="4" t="s">
        <v>122</v>
      </c>
      <c r="L13" s="4" t="s">
        <v>123</v>
      </c>
      <c r="M13" s="5"/>
      <c r="N13" s="5"/>
      <c r="O13" s="5"/>
      <c r="P13" s="5"/>
    </row>
    <row r="14" spans="1:16" ht="90">
      <c r="A14" s="4" t="s">
        <v>130</v>
      </c>
      <c r="B14" s="4" t="s">
        <v>10</v>
      </c>
      <c r="C14" s="4" t="s">
        <v>116</v>
      </c>
      <c r="D14" s="4" t="s">
        <v>38</v>
      </c>
      <c r="E14" s="4" t="s">
        <v>39</v>
      </c>
      <c r="F14" s="4" t="s">
        <v>131</v>
      </c>
      <c r="G14" s="4" t="s">
        <v>132</v>
      </c>
      <c r="H14" s="4" t="s">
        <v>133</v>
      </c>
      <c r="I14" s="4" t="s">
        <v>134</v>
      </c>
      <c r="J14" s="4" t="s">
        <v>135</v>
      </c>
      <c r="K14" s="4" t="s">
        <v>122</v>
      </c>
      <c r="L14" s="4" t="s">
        <v>123</v>
      </c>
      <c r="M14" s="5"/>
      <c r="N14" s="5"/>
      <c r="O14" s="5"/>
      <c r="P14" s="5"/>
    </row>
    <row r="15" spans="1:16" ht="90">
      <c r="A15" s="4" t="s">
        <v>136</v>
      </c>
      <c r="B15" s="4" t="s">
        <v>10</v>
      </c>
      <c r="C15" s="4" t="s">
        <v>116</v>
      </c>
      <c r="D15" s="4" t="s">
        <v>38</v>
      </c>
      <c r="E15" s="4" t="s">
        <v>39</v>
      </c>
      <c r="F15" s="4" t="s">
        <v>137</v>
      </c>
      <c r="G15" s="4" t="s">
        <v>138</v>
      </c>
      <c r="H15" s="4" t="s">
        <v>139</v>
      </c>
      <c r="I15" s="4" t="s">
        <v>140</v>
      </c>
      <c r="J15" s="4" t="s">
        <v>141</v>
      </c>
      <c r="K15" s="4" t="s">
        <v>45</v>
      </c>
      <c r="L15" s="4" t="s">
        <v>123</v>
      </c>
      <c r="M15" s="5"/>
      <c r="N15" s="5"/>
      <c r="O15" s="5"/>
      <c r="P15" s="5"/>
    </row>
    <row r="16" spans="1:16" ht="120">
      <c r="A16" s="4" t="s">
        <v>142</v>
      </c>
      <c r="B16" s="4" t="s">
        <v>10</v>
      </c>
      <c r="C16" s="4" t="s">
        <v>116</v>
      </c>
      <c r="D16" s="4" t="s">
        <v>38</v>
      </c>
      <c r="E16" s="4" t="s">
        <v>39</v>
      </c>
      <c r="F16" s="4" t="s">
        <v>143</v>
      </c>
      <c r="G16" s="4" t="s">
        <v>144</v>
      </c>
      <c r="H16" s="4" t="s">
        <v>145</v>
      </c>
      <c r="I16" s="4" t="s">
        <v>146</v>
      </c>
      <c r="J16" s="4" t="s">
        <v>147</v>
      </c>
      <c r="K16" s="4" t="s">
        <v>122</v>
      </c>
      <c r="L16" s="4" t="s">
        <v>123</v>
      </c>
      <c r="M16" s="5"/>
      <c r="N16" s="5"/>
      <c r="O16" s="5"/>
      <c r="P16" s="5"/>
    </row>
    <row r="17" spans="1:16" ht="120">
      <c r="A17" s="4" t="s">
        <v>148</v>
      </c>
      <c r="B17" s="4" t="s">
        <v>10</v>
      </c>
      <c r="C17" s="4" t="s">
        <v>116</v>
      </c>
      <c r="D17" s="4" t="s">
        <v>38</v>
      </c>
      <c r="E17" s="4" t="s">
        <v>39</v>
      </c>
      <c r="F17" s="4" t="s">
        <v>149</v>
      </c>
      <c r="G17" s="4" t="s">
        <v>150</v>
      </c>
      <c r="H17" s="4" t="s">
        <v>151</v>
      </c>
      <c r="I17" s="4" t="s">
        <v>152</v>
      </c>
      <c r="J17" s="4" t="s">
        <v>153</v>
      </c>
      <c r="K17" s="4" t="s">
        <v>45</v>
      </c>
      <c r="L17" s="4" t="s">
        <v>123</v>
      </c>
      <c r="M17" s="5"/>
      <c r="N17" s="5"/>
      <c r="O17" s="5"/>
      <c r="P17" s="5"/>
    </row>
    <row r="18" spans="1:16" ht="105">
      <c r="A18" s="4" t="s">
        <v>154</v>
      </c>
      <c r="B18" s="4" t="s">
        <v>10</v>
      </c>
      <c r="C18" s="4" t="s">
        <v>116</v>
      </c>
      <c r="D18" s="4" t="s">
        <v>38</v>
      </c>
      <c r="E18" s="4" t="s">
        <v>39</v>
      </c>
      <c r="F18" s="4" t="s">
        <v>155</v>
      </c>
      <c r="G18" s="4" t="s">
        <v>156</v>
      </c>
      <c r="H18" s="4" t="s">
        <v>157</v>
      </c>
      <c r="I18" s="4" t="s">
        <v>158</v>
      </c>
      <c r="J18" s="4" t="s">
        <v>159</v>
      </c>
      <c r="K18" s="4" t="s">
        <v>45</v>
      </c>
      <c r="L18" s="4" t="s">
        <v>123</v>
      </c>
      <c r="M18" s="5"/>
      <c r="N18" s="5"/>
      <c r="O18" s="5"/>
      <c r="P18" s="5"/>
    </row>
    <row r="19" spans="1:16" ht="120">
      <c r="A19" s="4" t="s">
        <v>160</v>
      </c>
      <c r="B19" s="4" t="s">
        <v>10</v>
      </c>
      <c r="C19" s="4" t="s">
        <v>116</v>
      </c>
      <c r="D19" s="4" t="s">
        <v>38</v>
      </c>
      <c r="E19" s="4" t="s">
        <v>39</v>
      </c>
      <c r="F19" s="4" t="s">
        <v>161</v>
      </c>
      <c r="G19" s="4" t="s">
        <v>162</v>
      </c>
      <c r="H19" s="4" t="s">
        <v>163</v>
      </c>
      <c r="I19" s="4" t="s">
        <v>164</v>
      </c>
      <c r="J19" s="4" t="s">
        <v>165</v>
      </c>
      <c r="K19" s="4" t="s">
        <v>122</v>
      </c>
      <c r="L19" s="4" t="s">
        <v>166</v>
      </c>
      <c r="M19" s="5"/>
      <c r="N19" s="5"/>
      <c r="O19" s="5"/>
      <c r="P19" s="5"/>
    </row>
    <row r="20" spans="1:16" ht="120">
      <c r="A20" s="4" t="s">
        <v>167</v>
      </c>
      <c r="B20" s="4" t="s">
        <v>10</v>
      </c>
      <c r="C20" s="4" t="s">
        <v>116</v>
      </c>
      <c r="D20" s="4" t="s">
        <v>38</v>
      </c>
      <c r="E20" s="4" t="s">
        <v>39</v>
      </c>
      <c r="F20" s="4" t="s">
        <v>168</v>
      </c>
      <c r="G20" s="4" t="s">
        <v>169</v>
      </c>
      <c r="H20" s="4" t="s">
        <v>170</v>
      </c>
      <c r="I20" s="4" t="s">
        <v>171</v>
      </c>
      <c r="J20" s="4" t="s">
        <v>172</v>
      </c>
      <c r="K20" s="4" t="s">
        <v>45</v>
      </c>
      <c r="L20" s="4" t="s">
        <v>123</v>
      </c>
      <c r="M20" s="5"/>
      <c r="N20" s="5"/>
      <c r="O20" s="5"/>
      <c r="P20" s="5"/>
    </row>
    <row r="21" spans="1:16" ht="90">
      <c r="A21" s="4" t="s">
        <v>173</v>
      </c>
      <c r="B21" s="4" t="s">
        <v>10</v>
      </c>
      <c r="C21" s="4" t="s">
        <v>116</v>
      </c>
      <c r="D21" s="4" t="s">
        <v>38</v>
      </c>
      <c r="E21" s="4" t="s">
        <v>39</v>
      </c>
      <c r="F21" s="4" t="s">
        <v>174</v>
      </c>
      <c r="G21" s="4" t="s">
        <v>175</v>
      </c>
      <c r="H21" s="4" t="s">
        <v>176</v>
      </c>
      <c r="I21" s="4" t="s">
        <v>177</v>
      </c>
      <c r="J21" s="4" t="s">
        <v>178</v>
      </c>
      <c r="K21" s="4" t="s">
        <v>45</v>
      </c>
      <c r="L21" s="4" t="s">
        <v>123</v>
      </c>
      <c r="M21" s="5"/>
      <c r="N21" s="5"/>
      <c r="O21" s="5"/>
      <c r="P21" s="5"/>
    </row>
    <row r="22" spans="1:16" ht="150">
      <c r="A22" s="4" t="s">
        <v>179</v>
      </c>
      <c r="B22" s="4" t="s">
        <v>10</v>
      </c>
      <c r="C22" s="4" t="s">
        <v>180</v>
      </c>
      <c r="D22" s="4" t="s">
        <v>67</v>
      </c>
      <c r="E22" s="4" t="s">
        <v>181</v>
      </c>
      <c r="F22" s="4" t="s">
        <v>182</v>
      </c>
      <c r="G22" s="4" t="s">
        <v>183</v>
      </c>
      <c r="H22" s="4" t="s">
        <v>184</v>
      </c>
      <c r="I22" s="4" t="s">
        <v>185</v>
      </c>
      <c r="J22" s="4" t="s">
        <v>186</v>
      </c>
      <c r="K22" s="4" t="s">
        <v>122</v>
      </c>
      <c r="L22" s="4" t="s">
        <v>187</v>
      </c>
      <c r="M22" s="5"/>
      <c r="N22" s="5"/>
      <c r="O22" s="5"/>
      <c r="P22" s="5"/>
    </row>
    <row r="23" spans="1:16" ht="150">
      <c r="A23" s="4" t="s">
        <v>188</v>
      </c>
      <c r="B23" s="4" t="s">
        <v>10</v>
      </c>
      <c r="C23" s="4" t="s">
        <v>180</v>
      </c>
      <c r="D23" s="4" t="s">
        <v>67</v>
      </c>
      <c r="E23" s="4" t="s">
        <v>189</v>
      </c>
      <c r="F23" s="4" t="s">
        <v>190</v>
      </c>
      <c r="G23" s="4" t="s">
        <v>191</v>
      </c>
      <c r="H23" s="4" t="s">
        <v>192</v>
      </c>
      <c r="I23" s="4" t="s">
        <v>193</v>
      </c>
      <c r="J23" s="4" t="s">
        <v>194</v>
      </c>
      <c r="K23" s="4" t="s">
        <v>122</v>
      </c>
      <c r="L23" s="4" t="s">
        <v>195</v>
      </c>
      <c r="M23" s="5"/>
      <c r="N23" s="5"/>
      <c r="O23" s="5"/>
      <c r="P23" s="5"/>
    </row>
    <row r="24" spans="1:16" ht="90">
      <c r="A24" s="4" t="s">
        <v>196</v>
      </c>
      <c r="B24" s="4" t="s">
        <v>10</v>
      </c>
      <c r="C24" s="4" t="s">
        <v>180</v>
      </c>
      <c r="D24" s="4" t="s">
        <v>67</v>
      </c>
      <c r="E24" s="4" t="s">
        <v>197</v>
      </c>
      <c r="F24" s="4" t="s">
        <v>198</v>
      </c>
      <c r="G24" s="4" t="s">
        <v>199</v>
      </c>
      <c r="H24" s="4" t="s">
        <v>200</v>
      </c>
      <c r="I24" s="4" t="s">
        <v>201</v>
      </c>
      <c r="J24" s="4" t="s">
        <v>202</v>
      </c>
      <c r="K24" s="4" t="s">
        <v>122</v>
      </c>
      <c r="L24" s="4" t="s">
        <v>203</v>
      </c>
      <c r="M24" s="5"/>
      <c r="N24" s="5"/>
      <c r="O24" s="5"/>
      <c r="P24" s="5"/>
    </row>
    <row r="25" spans="1:16" ht="135">
      <c r="A25" s="4" t="s">
        <v>204</v>
      </c>
      <c r="B25" s="4" t="s">
        <v>10</v>
      </c>
      <c r="C25" s="4" t="s">
        <v>180</v>
      </c>
      <c r="D25" s="4" t="s">
        <v>67</v>
      </c>
      <c r="E25" s="4" t="s">
        <v>84</v>
      </c>
      <c r="F25" s="4" t="s">
        <v>205</v>
      </c>
      <c r="G25" s="4" t="s">
        <v>206</v>
      </c>
      <c r="H25" s="4" t="s">
        <v>207</v>
      </c>
      <c r="I25" s="4" t="s">
        <v>208</v>
      </c>
      <c r="J25" s="4" t="s">
        <v>209</v>
      </c>
      <c r="K25" s="4" t="s">
        <v>122</v>
      </c>
      <c r="L25" s="4" t="s">
        <v>210</v>
      </c>
      <c r="M25" s="5"/>
      <c r="N25" s="5"/>
      <c r="O25" s="5"/>
      <c r="P25" s="5"/>
    </row>
    <row r="26" spans="1:16" ht="105">
      <c r="A26" s="4" t="s">
        <v>211</v>
      </c>
      <c r="B26" s="4" t="s">
        <v>10</v>
      </c>
      <c r="C26" s="4" t="s">
        <v>180</v>
      </c>
      <c r="D26" s="4" t="s">
        <v>67</v>
      </c>
      <c r="E26" s="4" t="s">
        <v>212</v>
      </c>
      <c r="F26" s="4" t="s">
        <v>213</v>
      </c>
      <c r="G26" s="4" t="s">
        <v>214</v>
      </c>
      <c r="H26" s="4" t="s">
        <v>215</v>
      </c>
      <c r="I26" s="4" t="s">
        <v>216</v>
      </c>
      <c r="J26" s="4" t="s">
        <v>217</v>
      </c>
      <c r="K26" s="4" t="s">
        <v>45</v>
      </c>
      <c r="L26" s="4" t="s">
        <v>123</v>
      </c>
      <c r="M26" s="5"/>
      <c r="N26" s="5"/>
      <c r="O26" s="5"/>
      <c r="P26" s="5"/>
    </row>
    <row r="27" spans="1:16" ht="105">
      <c r="A27" s="4" t="s">
        <v>218</v>
      </c>
      <c r="B27" s="4" t="s">
        <v>10</v>
      </c>
      <c r="C27" s="4" t="s">
        <v>180</v>
      </c>
      <c r="D27" s="4" t="s">
        <v>67</v>
      </c>
      <c r="E27" s="4" t="s">
        <v>92</v>
      </c>
      <c r="F27" s="4" t="s">
        <v>219</v>
      </c>
      <c r="G27" s="4" t="s">
        <v>220</v>
      </c>
      <c r="H27" s="4" t="s">
        <v>221</v>
      </c>
      <c r="I27" s="4" t="s">
        <v>222</v>
      </c>
      <c r="J27" s="4" t="s">
        <v>223</v>
      </c>
      <c r="K27" s="4" t="s">
        <v>122</v>
      </c>
      <c r="L27" s="4" t="s">
        <v>224</v>
      </c>
      <c r="M27" s="5"/>
      <c r="N27" s="5"/>
      <c r="O27" s="5"/>
      <c r="P27" s="5"/>
    </row>
    <row r="28" spans="1:16" ht="90">
      <c r="A28" s="4" t="s">
        <v>225</v>
      </c>
      <c r="B28" s="4" t="s">
        <v>10</v>
      </c>
      <c r="C28" s="4" t="s">
        <v>180</v>
      </c>
      <c r="D28" s="4" t="s">
        <v>67</v>
      </c>
      <c r="E28" s="4" t="s">
        <v>100</v>
      </c>
      <c r="F28" s="4" t="s">
        <v>226</v>
      </c>
      <c r="G28" s="4" t="s">
        <v>227</v>
      </c>
      <c r="H28" s="4" t="s">
        <v>192</v>
      </c>
      <c r="I28" s="4" t="s">
        <v>228</v>
      </c>
      <c r="J28" s="4" t="s">
        <v>229</v>
      </c>
      <c r="K28" s="4" t="s">
        <v>122</v>
      </c>
      <c r="L28" s="4" t="s">
        <v>230</v>
      </c>
      <c r="M28" s="5"/>
      <c r="N28" s="5"/>
      <c r="O28" s="5"/>
      <c r="P28" s="5"/>
    </row>
    <row r="29" spans="1:16" ht="90">
      <c r="A29" s="4" t="s">
        <v>231</v>
      </c>
      <c r="B29" s="4" t="s">
        <v>10</v>
      </c>
      <c r="C29" s="4" t="s">
        <v>180</v>
      </c>
      <c r="D29" s="4" t="s">
        <v>67</v>
      </c>
      <c r="E29" s="4" t="s">
        <v>232</v>
      </c>
      <c r="F29" s="4" t="s">
        <v>233</v>
      </c>
      <c r="G29" s="4" t="s">
        <v>234</v>
      </c>
      <c r="H29" s="4" t="s">
        <v>235</v>
      </c>
      <c r="I29" s="4" t="s">
        <v>236</v>
      </c>
      <c r="J29" s="4" t="s">
        <v>237</v>
      </c>
      <c r="K29" s="4" t="s">
        <v>45</v>
      </c>
      <c r="L29" s="4" t="s">
        <v>238</v>
      </c>
      <c r="M29" s="5"/>
      <c r="N29" s="5"/>
      <c r="O29" s="5"/>
      <c r="P29" s="5"/>
    </row>
    <row r="30" spans="1:16" ht="90">
      <c r="A30" s="4" t="s">
        <v>239</v>
      </c>
      <c r="B30" s="4" t="s">
        <v>10</v>
      </c>
      <c r="C30" s="4" t="s">
        <v>180</v>
      </c>
      <c r="D30" s="4" t="s">
        <v>67</v>
      </c>
      <c r="E30" s="4" t="s">
        <v>240</v>
      </c>
      <c r="F30" s="4" t="s">
        <v>241</v>
      </c>
      <c r="G30" s="4" t="s">
        <v>242</v>
      </c>
      <c r="H30" s="4" t="s">
        <v>243</v>
      </c>
      <c r="I30" s="4" t="s">
        <v>244</v>
      </c>
      <c r="J30" s="4" t="s">
        <v>245</v>
      </c>
      <c r="K30" s="4" t="s">
        <v>122</v>
      </c>
      <c r="L30" s="4" t="s">
        <v>123</v>
      </c>
      <c r="M30" s="5"/>
      <c r="N30" s="5"/>
      <c r="O30" s="5"/>
      <c r="P30" s="5"/>
    </row>
    <row r="31" spans="1:16" ht="105">
      <c r="A31" s="4" t="s">
        <v>246</v>
      </c>
      <c r="B31" s="4" t="s">
        <v>10</v>
      </c>
      <c r="C31" s="4" t="s">
        <v>180</v>
      </c>
      <c r="D31" s="4" t="s">
        <v>67</v>
      </c>
      <c r="E31" s="4" t="s">
        <v>247</v>
      </c>
      <c r="F31" s="4" t="s">
        <v>248</v>
      </c>
      <c r="G31" s="4" t="s">
        <v>249</v>
      </c>
      <c r="H31" s="4" t="s">
        <v>192</v>
      </c>
      <c r="I31" s="4" t="s">
        <v>250</v>
      </c>
      <c r="J31" s="4" t="s">
        <v>251</v>
      </c>
      <c r="K31" s="4" t="s">
        <v>122</v>
      </c>
      <c r="L31" s="4" t="s">
        <v>252</v>
      </c>
      <c r="M31" s="5"/>
      <c r="N31" s="5"/>
      <c r="O31" s="5"/>
      <c r="P31" s="5"/>
    </row>
    <row r="32" spans="1:16" ht="105">
      <c r="A32" s="4" t="s">
        <v>253</v>
      </c>
      <c r="B32" s="4" t="s">
        <v>10</v>
      </c>
      <c r="C32" s="4" t="s">
        <v>180</v>
      </c>
      <c r="D32" s="4" t="s">
        <v>67</v>
      </c>
      <c r="E32" s="4" t="s">
        <v>254</v>
      </c>
      <c r="F32" s="4" t="s">
        <v>255</v>
      </c>
      <c r="G32" s="4" t="s">
        <v>256</v>
      </c>
      <c r="H32" s="4" t="s">
        <v>257</v>
      </c>
      <c r="I32" s="4" t="s">
        <v>258</v>
      </c>
      <c r="J32" s="4" t="s">
        <v>259</v>
      </c>
      <c r="K32" s="4" t="s">
        <v>122</v>
      </c>
      <c r="L32" s="4" t="s">
        <v>260</v>
      </c>
      <c r="M32" s="5"/>
      <c r="N32" s="5"/>
      <c r="O32" s="5"/>
      <c r="P32" s="5"/>
    </row>
    <row r="33" spans="1:16" ht="105">
      <c r="A33" s="4" t="s">
        <v>261</v>
      </c>
      <c r="B33" s="4" t="s">
        <v>10</v>
      </c>
      <c r="C33" s="4" t="s">
        <v>180</v>
      </c>
      <c r="D33" s="4" t="s">
        <v>67</v>
      </c>
      <c r="E33" s="4" t="s">
        <v>262</v>
      </c>
      <c r="F33" s="4" t="s">
        <v>263</v>
      </c>
      <c r="G33" s="4" t="s">
        <v>264</v>
      </c>
      <c r="H33" s="4" t="s">
        <v>265</v>
      </c>
      <c r="I33" s="4" t="s">
        <v>266</v>
      </c>
      <c r="J33" s="4" t="s">
        <v>267</v>
      </c>
      <c r="K33" s="4" t="s">
        <v>122</v>
      </c>
      <c r="L33" s="4" t="s">
        <v>268</v>
      </c>
      <c r="M33" s="5"/>
      <c r="N33" s="5"/>
      <c r="O33" s="5"/>
      <c r="P33" s="5"/>
    </row>
    <row r="34" spans="1:16" ht="135">
      <c r="A34" s="4" t="s">
        <v>269</v>
      </c>
      <c r="B34" s="4" t="s">
        <v>10</v>
      </c>
      <c r="C34" s="4" t="s">
        <v>180</v>
      </c>
      <c r="D34" s="4" t="s">
        <v>67</v>
      </c>
      <c r="E34" s="4" t="s">
        <v>270</v>
      </c>
      <c r="F34" s="4" t="s">
        <v>271</v>
      </c>
      <c r="G34" s="4" t="s">
        <v>272</v>
      </c>
      <c r="H34" s="4" t="s">
        <v>273</v>
      </c>
      <c r="I34" s="4" t="s">
        <v>274</v>
      </c>
      <c r="J34" s="4" t="s">
        <v>275</v>
      </c>
      <c r="K34" s="4" t="s">
        <v>45</v>
      </c>
      <c r="L34" s="4" t="s">
        <v>276</v>
      </c>
      <c r="M34" s="5"/>
      <c r="N34" s="5"/>
      <c r="O34" s="5"/>
      <c r="P34" s="5"/>
    </row>
    <row r="35" spans="1:16" ht="120">
      <c r="A35" s="4" t="s">
        <v>277</v>
      </c>
      <c r="B35" s="4" t="s">
        <v>10</v>
      </c>
      <c r="C35" s="4" t="s">
        <v>180</v>
      </c>
      <c r="D35" s="4" t="s">
        <v>67</v>
      </c>
      <c r="E35" s="4" t="s">
        <v>278</v>
      </c>
      <c r="F35" s="4" t="s">
        <v>279</v>
      </c>
      <c r="G35" s="4" t="s">
        <v>280</v>
      </c>
      <c r="H35" s="4" t="s">
        <v>281</v>
      </c>
      <c r="I35" s="4" t="s">
        <v>282</v>
      </c>
      <c r="J35" s="4" t="s">
        <v>283</v>
      </c>
      <c r="K35" s="4" t="s">
        <v>122</v>
      </c>
      <c r="L35" s="4" t="s">
        <v>284</v>
      </c>
      <c r="M35" s="5"/>
      <c r="N35" s="5"/>
      <c r="O35" s="5"/>
      <c r="P35" s="5"/>
    </row>
    <row r="36" spans="1:16" ht="120">
      <c r="A36" s="4" t="s">
        <v>285</v>
      </c>
      <c r="B36" s="4" t="s">
        <v>10</v>
      </c>
      <c r="C36" s="4" t="s">
        <v>180</v>
      </c>
      <c r="D36" s="4" t="s">
        <v>67</v>
      </c>
      <c r="E36" s="4" t="s">
        <v>286</v>
      </c>
      <c r="F36" s="4" t="s">
        <v>287</v>
      </c>
      <c r="G36" s="4" t="s">
        <v>288</v>
      </c>
      <c r="H36" s="4" t="s">
        <v>119</v>
      </c>
      <c r="I36" s="4" t="s">
        <v>120</v>
      </c>
      <c r="J36" s="4" t="s">
        <v>289</v>
      </c>
      <c r="K36" s="4" t="s">
        <v>45</v>
      </c>
      <c r="L36" s="4" t="s">
        <v>290</v>
      </c>
      <c r="M36" s="5"/>
      <c r="N36" s="5"/>
      <c r="O36" s="5"/>
      <c r="P36" s="5"/>
    </row>
    <row r="37" spans="1:16" ht="105">
      <c r="A37" s="4" t="s">
        <v>291</v>
      </c>
      <c r="B37" s="4" t="s">
        <v>10</v>
      </c>
      <c r="C37" s="4" t="s">
        <v>180</v>
      </c>
      <c r="D37" s="4" t="s">
        <v>67</v>
      </c>
      <c r="E37" s="4" t="s">
        <v>292</v>
      </c>
      <c r="F37" s="4" t="s">
        <v>293</v>
      </c>
      <c r="G37" s="4" t="s">
        <v>294</v>
      </c>
      <c r="H37" s="4" t="s">
        <v>295</v>
      </c>
      <c r="I37" s="4" t="s">
        <v>296</v>
      </c>
      <c r="J37" s="4" t="s">
        <v>297</v>
      </c>
      <c r="K37" s="4" t="s">
        <v>122</v>
      </c>
      <c r="L37" s="4" t="s">
        <v>298</v>
      </c>
      <c r="M37" s="5"/>
      <c r="N37" s="5"/>
      <c r="O37" s="5"/>
      <c r="P37" s="5"/>
    </row>
    <row r="38" spans="1:16" ht="150">
      <c r="A38" s="4" t="s">
        <v>299</v>
      </c>
      <c r="B38" s="4" t="s">
        <v>10</v>
      </c>
      <c r="C38" s="4" t="s">
        <v>300</v>
      </c>
      <c r="D38" s="4" t="s">
        <v>301</v>
      </c>
      <c r="E38" s="4" t="s">
        <v>302</v>
      </c>
      <c r="F38" s="4" t="s">
        <v>303</v>
      </c>
      <c r="G38" s="4" t="s">
        <v>304</v>
      </c>
      <c r="H38" s="4" t="s">
        <v>305</v>
      </c>
      <c r="I38" s="4" t="s">
        <v>306</v>
      </c>
      <c r="J38" s="4" t="s">
        <v>307</v>
      </c>
      <c r="K38" s="4" t="s">
        <v>45</v>
      </c>
      <c r="L38" s="4" t="s">
        <v>123</v>
      </c>
      <c r="M38" s="5"/>
      <c r="N38" s="5"/>
      <c r="O38" s="5"/>
      <c r="P38" s="5"/>
    </row>
    <row r="39" spans="1:16" ht="120">
      <c r="A39" s="4" t="s">
        <v>308</v>
      </c>
      <c r="B39" s="4" t="s">
        <v>10</v>
      </c>
      <c r="C39" s="4" t="s">
        <v>300</v>
      </c>
      <c r="D39" s="4" t="s">
        <v>301</v>
      </c>
      <c r="E39" s="4" t="s">
        <v>309</v>
      </c>
      <c r="F39" s="4" t="s">
        <v>310</v>
      </c>
      <c r="G39" s="4" t="s">
        <v>311</v>
      </c>
      <c r="H39" s="4" t="s">
        <v>312</v>
      </c>
      <c r="I39" s="4" t="s">
        <v>313</v>
      </c>
      <c r="J39" s="4" t="s">
        <v>314</v>
      </c>
      <c r="K39" s="4" t="s">
        <v>45</v>
      </c>
      <c r="L39" s="4" t="s">
        <v>315</v>
      </c>
      <c r="M39" s="5"/>
      <c r="N39" s="5"/>
      <c r="O39" s="5"/>
      <c r="P39" s="5"/>
    </row>
    <row r="40" spans="1:16" ht="90">
      <c r="A40" s="4" t="s">
        <v>316</v>
      </c>
      <c r="B40" s="4" t="s">
        <v>10</v>
      </c>
      <c r="C40" s="4" t="s">
        <v>300</v>
      </c>
      <c r="D40" s="4" t="s">
        <v>301</v>
      </c>
      <c r="E40" s="4" t="s">
        <v>317</v>
      </c>
      <c r="F40" s="4" t="s">
        <v>318</v>
      </c>
      <c r="G40" s="4" t="s">
        <v>319</v>
      </c>
      <c r="H40" s="4" t="s">
        <v>200</v>
      </c>
      <c r="I40" s="4" t="s">
        <v>320</v>
      </c>
      <c r="J40" s="4" t="s">
        <v>321</v>
      </c>
      <c r="K40" s="4" t="s">
        <v>45</v>
      </c>
      <c r="L40" s="4" t="s">
        <v>322</v>
      </c>
      <c r="M40" s="5"/>
      <c r="N40" s="5"/>
      <c r="O40" s="5"/>
      <c r="P40" s="5"/>
    </row>
    <row r="41" spans="1:16" ht="135">
      <c r="A41" s="4" t="s">
        <v>323</v>
      </c>
      <c r="B41" s="4" t="s">
        <v>10</v>
      </c>
      <c r="C41" s="4" t="s">
        <v>300</v>
      </c>
      <c r="D41" s="4" t="s">
        <v>301</v>
      </c>
      <c r="E41" s="4" t="s">
        <v>324</v>
      </c>
      <c r="F41" s="4" t="s">
        <v>325</v>
      </c>
      <c r="G41" s="4" t="s">
        <v>326</v>
      </c>
      <c r="H41" s="4" t="s">
        <v>207</v>
      </c>
      <c r="I41" s="4" t="s">
        <v>327</v>
      </c>
      <c r="J41" s="4" t="s">
        <v>328</v>
      </c>
      <c r="K41" s="4" t="s">
        <v>122</v>
      </c>
      <c r="L41" s="4" t="s">
        <v>329</v>
      </c>
      <c r="M41" s="5"/>
      <c r="N41" s="5"/>
      <c r="O41" s="5"/>
      <c r="P41" s="5"/>
    </row>
    <row r="42" spans="1:16" ht="135">
      <c r="A42" s="4" t="s">
        <v>330</v>
      </c>
      <c r="B42" s="4" t="s">
        <v>10</v>
      </c>
      <c r="C42" s="4" t="s">
        <v>300</v>
      </c>
      <c r="D42" s="4" t="s">
        <v>301</v>
      </c>
      <c r="E42" s="4" t="s">
        <v>331</v>
      </c>
      <c r="F42" s="4" t="s">
        <v>332</v>
      </c>
      <c r="G42" s="4" t="s">
        <v>333</v>
      </c>
      <c r="H42" s="4" t="s">
        <v>334</v>
      </c>
      <c r="I42" s="4" t="s">
        <v>335</v>
      </c>
      <c r="J42" s="4" t="s">
        <v>336</v>
      </c>
      <c r="K42" s="4" t="s">
        <v>45</v>
      </c>
      <c r="L42" s="4" t="s">
        <v>337</v>
      </c>
      <c r="M42" s="5"/>
      <c r="N42" s="5"/>
      <c r="O42" s="5"/>
      <c r="P42" s="5"/>
    </row>
    <row r="43" spans="1:16" ht="105">
      <c r="A43" s="4" t="s">
        <v>338</v>
      </c>
      <c r="B43" s="4" t="s">
        <v>10</v>
      </c>
      <c r="C43" s="4" t="s">
        <v>300</v>
      </c>
      <c r="D43" s="4" t="s">
        <v>301</v>
      </c>
      <c r="E43" s="4" t="s">
        <v>339</v>
      </c>
      <c r="F43" s="4" t="s">
        <v>340</v>
      </c>
      <c r="G43" s="4" t="s">
        <v>341</v>
      </c>
      <c r="H43" s="4" t="s">
        <v>221</v>
      </c>
      <c r="I43" s="4" t="s">
        <v>342</v>
      </c>
      <c r="J43" s="4" t="s">
        <v>343</v>
      </c>
      <c r="K43" s="4" t="s">
        <v>122</v>
      </c>
      <c r="L43" s="4" t="s">
        <v>344</v>
      </c>
      <c r="M43" s="5"/>
      <c r="N43" s="5"/>
      <c r="O43" s="5"/>
      <c r="P43" s="5"/>
    </row>
    <row r="44" spans="1:16" ht="120">
      <c r="A44" s="4" t="s">
        <v>345</v>
      </c>
      <c r="B44" s="4" t="s">
        <v>10</v>
      </c>
      <c r="C44" s="4" t="s">
        <v>300</v>
      </c>
      <c r="D44" s="4" t="s">
        <v>301</v>
      </c>
      <c r="E44" s="4" t="s">
        <v>346</v>
      </c>
      <c r="F44" s="4" t="s">
        <v>347</v>
      </c>
      <c r="G44" s="4" t="s">
        <v>348</v>
      </c>
      <c r="H44" s="4" t="s">
        <v>349</v>
      </c>
      <c r="I44" s="4" t="s">
        <v>350</v>
      </c>
      <c r="J44" s="4" t="s">
        <v>351</v>
      </c>
      <c r="K44" s="4" t="s">
        <v>122</v>
      </c>
      <c r="L44" s="4" t="s">
        <v>352</v>
      </c>
      <c r="M44" s="5"/>
      <c r="N44" s="5"/>
      <c r="O44" s="5"/>
      <c r="P44" s="5"/>
    </row>
    <row r="45" spans="1:16" ht="105">
      <c r="A45" s="4" t="s">
        <v>353</v>
      </c>
      <c r="B45" s="4" t="s">
        <v>10</v>
      </c>
      <c r="C45" s="4" t="s">
        <v>300</v>
      </c>
      <c r="D45" s="4" t="s">
        <v>301</v>
      </c>
      <c r="E45" s="4" t="s">
        <v>354</v>
      </c>
      <c r="F45" s="4" t="s">
        <v>355</v>
      </c>
      <c r="G45" s="4" t="s">
        <v>356</v>
      </c>
      <c r="H45" s="4" t="s">
        <v>357</v>
      </c>
      <c r="I45" s="4" t="s">
        <v>358</v>
      </c>
      <c r="J45" s="4" t="s">
        <v>359</v>
      </c>
      <c r="K45" s="4" t="s">
        <v>122</v>
      </c>
      <c r="L45" s="4" t="s">
        <v>360</v>
      </c>
      <c r="M45" s="5"/>
      <c r="N45" s="5"/>
      <c r="O45" s="5"/>
      <c r="P45" s="5"/>
    </row>
    <row r="46" spans="1:16" ht="120">
      <c r="A46" s="4" t="s">
        <v>361</v>
      </c>
      <c r="B46" s="4" t="s">
        <v>11</v>
      </c>
      <c r="C46" s="4" t="s">
        <v>362</v>
      </c>
      <c r="D46" s="4" t="s">
        <v>38</v>
      </c>
      <c r="E46" s="4" t="s">
        <v>39</v>
      </c>
      <c r="F46" s="4" t="s">
        <v>363</v>
      </c>
      <c r="G46" s="4" t="s">
        <v>364</v>
      </c>
      <c r="H46" s="4" t="s">
        <v>365</v>
      </c>
      <c r="I46" s="4" t="s">
        <v>366</v>
      </c>
      <c r="J46" s="4" t="s">
        <v>367</v>
      </c>
      <c r="K46" s="4" t="s">
        <v>122</v>
      </c>
      <c r="L46" s="4" t="s">
        <v>368</v>
      </c>
      <c r="M46" s="5"/>
      <c r="N46" s="5"/>
      <c r="O46" s="5"/>
      <c r="P46" s="5"/>
    </row>
    <row r="47" spans="1:16" ht="105">
      <c r="A47" s="4" t="s">
        <v>369</v>
      </c>
      <c r="B47" s="4" t="s">
        <v>11</v>
      </c>
      <c r="C47" s="4" t="s">
        <v>370</v>
      </c>
      <c r="D47" s="4" t="s">
        <v>301</v>
      </c>
      <c r="E47" s="4" t="s">
        <v>302</v>
      </c>
      <c r="F47" s="4" t="s">
        <v>371</v>
      </c>
      <c r="G47" s="4" t="s">
        <v>372</v>
      </c>
      <c r="H47" s="4" t="s">
        <v>373</v>
      </c>
      <c r="I47" s="4" t="s">
        <v>374</v>
      </c>
      <c r="J47" s="4" t="s">
        <v>375</v>
      </c>
      <c r="K47" s="4" t="s">
        <v>122</v>
      </c>
      <c r="L47" s="4" t="s">
        <v>376</v>
      </c>
      <c r="M47" s="5"/>
      <c r="N47" s="5"/>
      <c r="O47" s="5"/>
      <c r="P47" s="5"/>
    </row>
    <row r="48" spans="1:16" ht="90">
      <c r="A48" s="4" t="s">
        <v>377</v>
      </c>
      <c r="B48" s="4" t="s">
        <v>11</v>
      </c>
      <c r="C48" s="4" t="s">
        <v>370</v>
      </c>
      <c r="D48" s="4" t="s">
        <v>301</v>
      </c>
      <c r="E48" s="4" t="s">
        <v>309</v>
      </c>
      <c r="F48" s="4" t="s">
        <v>378</v>
      </c>
      <c r="G48" s="4" t="s">
        <v>379</v>
      </c>
      <c r="H48" s="4" t="s">
        <v>373</v>
      </c>
      <c r="I48" s="4" t="s">
        <v>380</v>
      </c>
      <c r="J48" s="4" t="s">
        <v>381</v>
      </c>
      <c r="K48" s="4" t="s">
        <v>122</v>
      </c>
      <c r="L48" s="4" t="s">
        <v>382</v>
      </c>
      <c r="M48" s="5"/>
      <c r="N48" s="5"/>
      <c r="O48" s="5"/>
      <c r="P48" s="5"/>
    </row>
    <row r="49" spans="1:16" ht="90">
      <c r="A49" s="4" t="s">
        <v>383</v>
      </c>
      <c r="B49" s="4" t="s">
        <v>11</v>
      </c>
      <c r="C49" s="4" t="s">
        <v>370</v>
      </c>
      <c r="D49" s="4" t="s">
        <v>301</v>
      </c>
      <c r="E49" s="4" t="s">
        <v>317</v>
      </c>
      <c r="F49" s="4" t="s">
        <v>384</v>
      </c>
      <c r="G49" s="4" t="s">
        <v>385</v>
      </c>
      <c r="H49" s="4" t="s">
        <v>373</v>
      </c>
      <c r="I49" s="4" t="s">
        <v>386</v>
      </c>
      <c r="J49" s="4" t="s">
        <v>387</v>
      </c>
      <c r="K49" s="4" t="s">
        <v>45</v>
      </c>
      <c r="L49" s="4" t="s">
        <v>388</v>
      </c>
      <c r="M49" s="5"/>
      <c r="N49" s="5"/>
      <c r="O49" s="5"/>
      <c r="P49" s="5"/>
    </row>
    <row r="50" spans="1:16" ht="105">
      <c r="A50" s="4" t="s">
        <v>389</v>
      </c>
      <c r="B50" s="4" t="s">
        <v>11</v>
      </c>
      <c r="C50" s="4" t="s">
        <v>370</v>
      </c>
      <c r="D50" s="4" t="s">
        <v>301</v>
      </c>
      <c r="E50" s="4" t="s">
        <v>324</v>
      </c>
      <c r="F50" s="4" t="s">
        <v>390</v>
      </c>
      <c r="G50" s="4" t="s">
        <v>391</v>
      </c>
      <c r="H50" s="4" t="s">
        <v>373</v>
      </c>
      <c r="I50" s="4" t="s">
        <v>392</v>
      </c>
      <c r="J50" s="4" t="s">
        <v>393</v>
      </c>
      <c r="K50" s="4" t="s">
        <v>122</v>
      </c>
      <c r="L50" s="4" t="s">
        <v>394</v>
      </c>
      <c r="M50" s="5"/>
      <c r="N50" s="5"/>
      <c r="O50" s="5"/>
      <c r="P50" s="5"/>
    </row>
    <row r="51" spans="1:16" ht="120">
      <c r="A51" s="4" t="s">
        <v>395</v>
      </c>
      <c r="B51" s="4" t="s">
        <v>11</v>
      </c>
      <c r="C51" s="4" t="s">
        <v>370</v>
      </c>
      <c r="D51" s="4" t="s">
        <v>301</v>
      </c>
      <c r="E51" s="4" t="s">
        <v>331</v>
      </c>
      <c r="F51" s="4" t="s">
        <v>396</v>
      </c>
      <c r="G51" s="4" t="s">
        <v>397</v>
      </c>
      <c r="H51" s="4" t="s">
        <v>373</v>
      </c>
      <c r="I51" s="4" t="s">
        <v>398</v>
      </c>
      <c r="J51" s="4" t="s">
        <v>399</v>
      </c>
      <c r="K51" s="4" t="s">
        <v>122</v>
      </c>
      <c r="L51" s="4" t="s">
        <v>400</v>
      </c>
      <c r="M51" s="5"/>
      <c r="N51" s="5"/>
      <c r="O51" s="5"/>
      <c r="P51" s="5"/>
    </row>
    <row r="52" spans="1:16" ht="120">
      <c r="A52" s="4" t="s">
        <v>401</v>
      </c>
      <c r="B52" s="4" t="s">
        <v>11</v>
      </c>
      <c r="C52" s="4" t="s">
        <v>370</v>
      </c>
      <c r="D52" s="4" t="s">
        <v>301</v>
      </c>
      <c r="E52" s="4" t="s">
        <v>339</v>
      </c>
      <c r="F52" s="4" t="s">
        <v>402</v>
      </c>
      <c r="G52" s="4" t="s">
        <v>403</v>
      </c>
      <c r="H52" s="4" t="s">
        <v>373</v>
      </c>
      <c r="I52" s="4" t="s">
        <v>404</v>
      </c>
      <c r="J52" s="4" t="s">
        <v>405</v>
      </c>
      <c r="K52" s="4" t="s">
        <v>45</v>
      </c>
      <c r="L52" s="4" t="s">
        <v>406</v>
      </c>
      <c r="M52" s="5"/>
      <c r="N52" s="5"/>
      <c r="O52" s="5"/>
      <c r="P52" s="5"/>
    </row>
    <row r="53" spans="1:16" ht="105">
      <c r="A53" s="4" t="s">
        <v>407</v>
      </c>
      <c r="B53" s="4" t="s">
        <v>11</v>
      </c>
      <c r="C53" s="4" t="s">
        <v>370</v>
      </c>
      <c r="D53" s="4" t="s">
        <v>301</v>
      </c>
      <c r="E53" s="4" t="s">
        <v>346</v>
      </c>
      <c r="F53" s="4" t="s">
        <v>408</v>
      </c>
      <c r="G53" s="4" t="s">
        <v>409</v>
      </c>
      <c r="H53" s="4" t="s">
        <v>373</v>
      </c>
      <c r="I53" s="4" t="s">
        <v>410</v>
      </c>
      <c r="J53" s="4" t="s">
        <v>411</v>
      </c>
      <c r="K53" s="4" t="s">
        <v>122</v>
      </c>
      <c r="L53" s="4" t="s">
        <v>412</v>
      </c>
      <c r="M53" s="5"/>
      <c r="N53" s="5"/>
      <c r="O53" s="5"/>
      <c r="P53" s="5"/>
    </row>
    <row r="54" spans="1:16" ht="105">
      <c r="A54" s="4" t="s">
        <v>413</v>
      </c>
      <c r="B54" s="4" t="s">
        <v>11</v>
      </c>
      <c r="C54" s="4" t="s">
        <v>370</v>
      </c>
      <c r="D54" s="4" t="s">
        <v>301</v>
      </c>
      <c r="E54" s="4" t="s">
        <v>414</v>
      </c>
      <c r="F54" s="4" t="s">
        <v>415</v>
      </c>
      <c r="G54" s="4" t="s">
        <v>416</v>
      </c>
      <c r="H54" s="4" t="s">
        <v>373</v>
      </c>
      <c r="I54" s="4" t="s">
        <v>417</v>
      </c>
      <c r="J54" s="4" t="s">
        <v>418</v>
      </c>
      <c r="K54" s="4" t="s">
        <v>45</v>
      </c>
      <c r="L54" s="4" t="s">
        <v>419</v>
      </c>
      <c r="M54" s="5"/>
      <c r="N54" s="5"/>
      <c r="O54" s="5"/>
      <c r="P54" s="5"/>
    </row>
    <row r="55" spans="1:16" ht="105">
      <c r="A55" s="4" t="s">
        <v>420</v>
      </c>
      <c r="B55" s="4" t="s">
        <v>11</v>
      </c>
      <c r="C55" s="4" t="s">
        <v>370</v>
      </c>
      <c r="D55" s="4" t="s">
        <v>301</v>
      </c>
      <c r="E55" s="4" t="s">
        <v>421</v>
      </c>
      <c r="F55" s="4" t="s">
        <v>422</v>
      </c>
      <c r="G55" s="4" t="s">
        <v>423</v>
      </c>
      <c r="H55" s="4" t="s">
        <v>373</v>
      </c>
      <c r="I55" s="4" t="s">
        <v>424</v>
      </c>
      <c r="J55" s="4" t="s">
        <v>425</v>
      </c>
      <c r="K55" s="4" t="s">
        <v>45</v>
      </c>
      <c r="L55" s="4" t="s">
        <v>426</v>
      </c>
      <c r="M55" s="5"/>
      <c r="N55" s="5"/>
      <c r="O55" s="5"/>
      <c r="P55" s="5"/>
    </row>
    <row r="56" spans="1:16" ht="135">
      <c r="A56" s="4" t="s">
        <v>427</v>
      </c>
      <c r="B56" s="4" t="s">
        <v>11</v>
      </c>
      <c r="C56" s="4" t="s">
        <v>370</v>
      </c>
      <c r="D56" s="4" t="s">
        <v>301</v>
      </c>
      <c r="E56" s="4" t="s">
        <v>354</v>
      </c>
      <c r="F56" s="4" t="s">
        <v>428</v>
      </c>
      <c r="G56" s="4" t="s">
        <v>429</v>
      </c>
      <c r="H56" s="4" t="s">
        <v>373</v>
      </c>
      <c r="I56" s="4" t="s">
        <v>430</v>
      </c>
      <c r="J56" s="4" t="s">
        <v>431</v>
      </c>
      <c r="K56" s="4" t="s">
        <v>122</v>
      </c>
      <c r="L56" s="4" t="s">
        <v>432</v>
      </c>
      <c r="M56" s="5"/>
      <c r="N56" s="5"/>
      <c r="O56" s="5"/>
      <c r="P56" s="5"/>
    </row>
    <row r="57" spans="1:16" ht="105">
      <c r="A57" s="4" t="s">
        <v>433</v>
      </c>
      <c r="B57" s="4" t="s">
        <v>11</v>
      </c>
      <c r="C57" s="4" t="s">
        <v>370</v>
      </c>
      <c r="D57" s="4" t="s">
        <v>301</v>
      </c>
      <c r="E57" s="4" t="s">
        <v>434</v>
      </c>
      <c r="F57" s="4" t="s">
        <v>435</v>
      </c>
      <c r="G57" s="4" t="s">
        <v>436</v>
      </c>
      <c r="H57" s="4" t="s">
        <v>373</v>
      </c>
      <c r="I57" s="4" t="s">
        <v>437</v>
      </c>
      <c r="J57" s="4" t="s">
        <v>438</v>
      </c>
      <c r="K57" s="4" t="s">
        <v>122</v>
      </c>
      <c r="L57" s="4" t="s">
        <v>439</v>
      </c>
      <c r="M57" s="5"/>
      <c r="N57" s="5"/>
      <c r="O57" s="5"/>
      <c r="P57" s="5"/>
    </row>
    <row r="58" spans="1:16" ht="120">
      <c r="A58" s="4" t="s">
        <v>440</v>
      </c>
      <c r="B58" s="4" t="s">
        <v>11</v>
      </c>
      <c r="C58" s="4" t="s">
        <v>370</v>
      </c>
      <c r="D58" s="4" t="s">
        <v>301</v>
      </c>
      <c r="E58" s="4" t="s">
        <v>441</v>
      </c>
      <c r="F58" s="4" t="s">
        <v>442</v>
      </c>
      <c r="G58" s="4" t="s">
        <v>443</v>
      </c>
      <c r="H58" s="4" t="s">
        <v>373</v>
      </c>
      <c r="I58" s="4" t="s">
        <v>444</v>
      </c>
      <c r="J58" s="4" t="s">
        <v>445</v>
      </c>
      <c r="K58" s="4" t="s">
        <v>45</v>
      </c>
      <c r="L58" s="4" t="s">
        <v>446</v>
      </c>
      <c r="M58" s="5"/>
      <c r="N58" s="5"/>
      <c r="O58" s="5"/>
      <c r="P58" s="5"/>
    </row>
    <row r="59" spans="1:16" ht="105">
      <c r="A59" s="4" t="s">
        <v>447</v>
      </c>
      <c r="B59" s="4" t="s">
        <v>11</v>
      </c>
      <c r="C59" s="4" t="s">
        <v>370</v>
      </c>
      <c r="D59" s="4" t="s">
        <v>301</v>
      </c>
      <c r="E59" s="4" t="s">
        <v>448</v>
      </c>
      <c r="F59" s="4" t="s">
        <v>449</v>
      </c>
      <c r="G59" s="4" t="s">
        <v>450</v>
      </c>
      <c r="H59" s="4" t="s">
        <v>373</v>
      </c>
      <c r="I59" s="4" t="s">
        <v>451</v>
      </c>
      <c r="J59" s="4" t="s">
        <v>452</v>
      </c>
      <c r="K59" s="4" t="s">
        <v>45</v>
      </c>
      <c r="L59" s="4" t="s">
        <v>453</v>
      </c>
      <c r="M59" s="5"/>
      <c r="N59" s="5"/>
      <c r="O59" s="5"/>
      <c r="P59" s="5"/>
    </row>
    <row r="60" spans="1:16" ht="105">
      <c r="A60" s="4" t="s">
        <v>454</v>
      </c>
      <c r="B60" s="4" t="s">
        <v>11</v>
      </c>
      <c r="C60" s="4" t="s">
        <v>370</v>
      </c>
      <c r="D60" s="4" t="s">
        <v>301</v>
      </c>
      <c r="E60" s="4" t="s">
        <v>455</v>
      </c>
      <c r="F60" s="4" t="s">
        <v>456</v>
      </c>
      <c r="G60" s="4" t="s">
        <v>457</v>
      </c>
      <c r="H60" s="4" t="s">
        <v>373</v>
      </c>
      <c r="I60" s="4" t="s">
        <v>458</v>
      </c>
      <c r="J60" s="4" t="s">
        <v>459</v>
      </c>
      <c r="K60" s="4" t="s">
        <v>122</v>
      </c>
      <c r="L60" s="4" t="s">
        <v>460</v>
      </c>
      <c r="M60" s="5"/>
      <c r="N60" s="5"/>
      <c r="O60" s="5"/>
      <c r="P60" s="5"/>
    </row>
    <row r="61" spans="1:16" ht="120">
      <c r="A61" s="4" t="s">
        <v>461</v>
      </c>
      <c r="B61" s="4" t="s">
        <v>11</v>
      </c>
      <c r="C61" s="4" t="s">
        <v>370</v>
      </c>
      <c r="D61" s="4" t="s">
        <v>301</v>
      </c>
      <c r="E61" s="4" t="s">
        <v>462</v>
      </c>
      <c r="F61" s="4" t="s">
        <v>463</v>
      </c>
      <c r="G61" s="4" t="s">
        <v>464</v>
      </c>
      <c r="H61" s="4" t="s">
        <v>373</v>
      </c>
      <c r="I61" s="4" t="s">
        <v>465</v>
      </c>
      <c r="J61" s="4" t="s">
        <v>466</v>
      </c>
      <c r="K61" s="4" t="s">
        <v>45</v>
      </c>
      <c r="L61" s="4" t="s">
        <v>467</v>
      </c>
      <c r="M61" s="5"/>
      <c r="N61" s="5"/>
      <c r="O61" s="5"/>
      <c r="P61" s="5"/>
    </row>
    <row r="62" spans="1:16" ht="120">
      <c r="A62" s="4" t="s">
        <v>468</v>
      </c>
      <c r="B62" s="4" t="s">
        <v>11</v>
      </c>
      <c r="C62" s="4" t="s">
        <v>370</v>
      </c>
      <c r="D62" s="4" t="s">
        <v>301</v>
      </c>
      <c r="E62" s="4" t="s">
        <v>469</v>
      </c>
      <c r="F62" s="4" t="s">
        <v>470</v>
      </c>
      <c r="G62" s="4" t="s">
        <v>471</v>
      </c>
      <c r="H62" s="4" t="s">
        <v>373</v>
      </c>
      <c r="I62" s="4" t="s">
        <v>472</v>
      </c>
      <c r="J62" s="4" t="s">
        <v>473</v>
      </c>
      <c r="K62" s="4" t="s">
        <v>122</v>
      </c>
      <c r="L62" s="4" t="s">
        <v>474</v>
      </c>
      <c r="M62" s="5"/>
      <c r="N62" s="5"/>
      <c r="O62" s="5"/>
      <c r="P62" s="5"/>
    </row>
    <row r="63" spans="1:16" ht="150">
      <c r="A63" s="4" t="s">
        <v>475</v>
      </c>
      <c r="B63" s="4" t="s">
        <v>11</v>
      </c>
      <c r="C63" s="4" t="s">
        <v>476</v>
      </c>
      <c r="D63" s="4" t="s">
        <v>38</v>
      </c>
      <c r="E63" s="4" t="s">
        <v>39</v>
      </c>
      <c r="F63" s="4" t="s">
        <v>477</v>
      </c>
      <c r="G63" s="4" t="s">
        <v>478</v>
      </c>
      <c r="H63" s="4" t="s">
        <v>479</v>
      </c>
      <c r="I63" s="4" t="s">
        <v>480</v>
      </c>
      <c r="J63" s="4" t="s">
        <v>481</v>
      </c>
      <c r="K63" s="4" t="s">
        <v>45</v>
      </c>
      <c r="L63" s="4" t="s">
        <v>482</v>
      </c>
      <c r="M63" s="5"/>
      <c r="N63" s="5"/>
      <c r="O63" s="5"/>
      <c r="P63" s="5"/>
    </row>
    <row r="64" spans="1:16" ht="120">
      <c r="A64" s="4" t="s">
        <v>483</v>
      </c>
      <c r="B64" s="4" t="s">
        <v>11</v>
      </c>
      <c r="C64" s="4" t="s">
        <v>476</v>
      </c>
      <c r="D64" s="4" t="s">
        <v>38</v>
      </c>
      <c r="E64" s="4" t="s">
        <v>39</v>
      </c>
      <c r="F64" s="4" t="s">
        <v>484</v>
      </c>
      <c r="G64" s="4" t="s">
        <v>485</v>
      </c>
      <c r="H64" s="4" t="s">
        <v>486</v>
      </c>
      <c r="I64" s="4" t="s">
        <v>487</v>
      </c>
      <c r="J64" s="4" t="s">
        <v>488</v>
      </c>
      <c r="K64" s="4" t="s">
        <v>45</v>
      </c>
      <c r="L64" s="4" t="s">
        <v>489</v>
      </c>
      <c r="M64" s="5"/>
      <c r="N64" s="5"/>
      <c r="O64" s="5"/>
      <c r="P64" s="5"/>
    </row>
  </sheetData>
  <autoFilter ref="A1:P1" xr:uid="{53B146EE-B1DE-4A88-8DD9-F748FC141609}"/>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Invalid status" error="Choose a value from the configured status list." promptTitle="Status" prompt="Select a state from the dropdown." xr:uid="{24AA7FD3-A9B8-4344-8D69-337C23F58261}">
          <x14:formula1>
            <xm:f>Value_Guide!$H$2:$H$8</xm:f>
          </x14:formula1>
          <xm:sqref>P2:P64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6C40-ACBB-49B1-8F28-7FAD20F18977}">
  <dimension ref="A1:B17"/>
  <sheetViews>
    <sheetView workbookViewId="0"/>
  </sheetViews>
  <sheetFormatPr defaultRowHeight="15"/>
  <cols>
    <col min="1" max="1" width="22.42578125" bestFit="1" customWidth="1"/>
    <col min="2" max="2" width="44.42578125" bestFit="1" customWidth="1"/>
  </cols>
  <sheetData>
    <row r="1" spans="1:2">
      <c r="A1" s="1" t="s">
        <v>490</v>
      </c>
      <c r="B1" s="1"/>
    </row>
    <row r="2" spans="1:2">
      <c r="A2" s="1" t="s">
        <v>22</v>
      </c>
      <c r="B2" s="1" t="s">
        <v>491</v>
      </c>
    </row>
    <row r="3" spans="1:2">
      <c r="A3" t="s">
        <v>37</v>
      </c>
      <c r="B3" t="s">
        <v>492</v>
      </c>
    </row>
    <row r="4" spans="1:2">
      <c r="A4" t="s">
        <v>66</v>
      </c>
      <c r="B4" t="s">
        <v>493</v>
      </c>
    </row>
    <row r="5" spans="1:2">
      <c r="A5" t="s">
        <v>107</v>
      </c>
      <c r="B5" t="s">
        <v>494</v>
      </c>
    </row>
    <row r="6" spans="1:2">
      <c r="A6" t="s">
        <v>116</v>
      </c>
      <c r="B6" t="s">
        <v>495</v>
      </c>
    </row>
    <row r="7" spans="1:2">
      <c r="A7" t="s">
        <v>180</v>
      </c>
      <c r="B7" t="s">
        <v>496</v>
      </c>
    </row>
    <row r="8" spans="1:2">
      <c r="A8" t="s">
        <v>300</v>
      </c>
      <c r="B8" t="s">
        <v>497</v>
      </c>
    </row>
    <row r="9" spans="1:2">
      <c r="A9" t="s">
        <v>362</v>
      </c>
      <c r="B9" t="s">
        <v>498</v>
      </c>
    </row>
    <row r="10" spans="1:2">
      <c r="A10" t="s">
        <v>370</v>
      </c>
      <c r="B10" t="s">
        <v>499</v>
      </c>
    </row>
    <row r="11" spans="1:2">
      <c r="A11" t="s">
        <v>476</v>
      </c>
      <c r="B11" t="s">
        <v>500</v>
      </c>
    </row>
    <row r="13" spans="1:2">
      <c r="A13" t="s">
        <v>501</v>
      </c>
    </row>
    <row r="14" spans="1:2">
      <c r="A14" t="s">
        <v>502</v>
      </c>
      <c r="B14" t="s">
        <v>503</v>
      </c>
    </row>
    <row r="15" spans="1:2">
      <c r="A15" t="s">
        <v>504</v>
      </c>
      <c r="B15" t="s">
        <v>505</v>
      </c>
    </row>
    <row r="16" spans="1:2">
      <c r="A16" t="s">
        <v>506</v>
      </c>
      <c r="B16" t="s">
        <v>507</v>
      </c>
    </row>
    <row r="17" spans="1:2">
      <c r="A17" t="s">
        <v>508</v>
      </c>
      <c r="B17" t="s">
        <v>509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EC5DB-C552-4AFE-946E-6D14DBB1CC98}">
  <dimension ref="A1:H22"/>
  <sheetViews>
    <sheetView workbookViewId="0"/>
  </sheetViews>
  <sheetFormatPr defaultRowHeight="15"/>
  <cols>
    <col min="1" max="1" width="94.7109375" bestFit="1" customWidth="1"/>
    <col min="2" max="2" width="51.5703125" bestFit="1" customWidth="1"/>
    <col min="3" max="3" width="48.85546875" bestFit="1" customWidth="1"/>
    <col min="4" max="4" width="54.28515625" bestFit="1" customWidth="1"/>
    <col min="8" max="8" width="19.5703125" bestFit="1" customWidth="1"/>
  </cols>
  <sheetData>
    <row r="1" spans="1:8" ht="18.75">
      <c r="A1" s="7" t="s">
        <v>510</v>
      </c>
      <c r="B1" s="8"/>
      <c r="C1" s="8"/>
      <c r="D1" s="8"/>
      <c r="H1" s="1" t="s">
        <v>558</v>
      </c>
    </row>
    <row r="2" spans="1:8">
      <c r="A2" s="8"/>
      <c r="B2" s="8"/>
      <c r="C2" s="8"/>
      <c r="D2" s="8"/>
      <c r="H2" t="s">
        <v>559</v>
      </c>
    </row>
    <row r="3" spans="1:8">
      <c r="A3" s="9" t="s">
        <v>511</v>
      </c>
      <c r="B3" s="8"/>
      <c r="C3" s="8"/>
      <c r="D3" s="8"/>
      <c r="H3" t="s">
        <v>560</v>
      </c>
    </row>
    <row r="4" spans="1:8">
      <c r="A4" s="8" t="s">
        <v>512</v>
      </c>
      <c r="B4" s="8"/>
      <c r="C4" s="8"/>
      <c r="D4" s="8"/>
      <c r="H4" t="s">
        <v>561</v>
      </c>
    </row>
    <row r="5" spans="1:8">
      <c r="A5" s="8" t="s">
        <v>513</v>
      </c>
      <c r="B5" s="8"/>
      <c r="C5" s="8"/>
      <c r="D5" s="8"/>
      <c r="H5" t="s">
        <v>562</v>
      </c>
    </row>
    <row r="6" spans="1:8">
      <c r="A6" s="8" t="s">
        <v>514</v>
      </c>
      <c r="B6" s="8"/>
      <c r="C6" s="8"/>
      <c r="D6" s="8"/>
      <c r="H6" t="s">
        <v>563</v>
      </c>
    </row>
    <row r="7" spans="1:8">
      <c r="A7" s="8" t="s">
        <v>515</v>
      </c>
      <c r="B7" s="8"/>
      <c r="C7" s="8"/>
      <c r="D7" s="8"/>
      <c r="H7" t="s">
        <v>564</v>
      </c>
    </row>
    <row r="8" spans="1:8">
      <c r="A8" s="8"/>
      <c r="B8" s="8"/>
      <c r="C8" s="8"/>
      <c r="D8" s="8"/>
      <c r="H8" t="s">
        <v>565</v>
      </c>
    </row>
    <row r="9" spans="1:8">
      <c r="A9" s="10" t="s">
        <v>516</v>
      </c>
      <c r="B9" s="10" t="s">
        <v>491</v>
      </c>
      <c r="C9" s="10" t="s">
        <v>517</v>
      </c>
      <c r="D9" s="10" t="s">
        <v>518</v>
      </c>
    </row>
    <row r="10" spans="1:8">
      <c r="A10" s="8" t="s">
        <v>519</v>
      </c>
      <c r="B10" s="8" t="s">
        <v>520</v>
      </c>
      <c r="C10" s="8" t="s">
        <v>521</v>
      </c>
      <c r="D10" s="8" t="s">
        <v>522</v>
      </c>
    </row>
    <row r="11" spans="1:8">
      <c r="A11" s="8" t="s">
        <v>523</v>
      </c>
      <c r="B11" s="8" t="s">
        <v>524</v>
      </c>
      <c r="C11" s="8" t="s">
        <v>525</v>
      </c>
      <c r="D11" s="8" t="s">
        <v>526</v>
      </c>
    </row>
    <row r="12" spans="1:8">
      <c r="A12" s="8" t="s">
        <v>527</v>
      </c>
      <c r="B12" s="8" t="s">
        <v>528</v>
      </c>
      <c r="C12" s="8" t="s">
        <v>529</v>
      </c>
      <c r="D12" s="8" t="s">
        <v>530</v>
      </c>
    </row>
    <row r="13" spans="1:8">
      <c r="A13" s="8" t="s">
        <v>531</v>
      </c>
      <c r="B13" s="8" t="s">
        <v>532</v>
      </c>
      <c r="C13" s="8" t="s">
        <v>533</v>
      </c>
      <c r="D13" s="8" t="s">
        <v>534</v>
      </c>
    </row>
    <row r="14" spans="1:8">
      <c r="A14" s="8" t="s">
        <v>535</v>
      </c>
      <c r="B14" s="8" t="s">
        <v>536</v>
      </c>
      <c r="C14" s="8" t="s">
        <v>537</v>
      </c>
      <c r="D14" s="8" t="s">
        <v>538</v>
      </c>
    </row>
    <row r="15" spans="1:8">
      <c r="A15" s="8"/>
      <c r="B15" s="8"/>
      <c r="C15" s="8"/>
      <c r="D15" s="8"/>
    </row>
    <row r="16" spans="1:8">
      <c r="A16" s="9" t="s">
        <v>539</v>
      </c>
      <c r="B16" s="8"/>
      <c r="C16" s="8"/>
      <c r="D16" s="8"/>
    </row>
    <row r="17" spans="1:4">
      <c r="A17" s="10" t="s">
        <v>540</v>
      </c>
      <c r="B17" s="10" t="s">
        <v>541</v>
      </c>
      <c r="C17" s="10" t="s">
        <v>542</v>
      </c>
      <c r="D17" s="8"/>
    </row>
    <row r="18" spans="1:4">
      <c r="A18" s="8" t="s">
        <v>543</v>
      </c>
      <c r="B18" s="8" t="s">
        <v>544</v>
      </c>
      <c r="C18" s="8" t="s">
        <v>545</v>
      </c>
      <c r="D18" s="8"/>
    </row>
    <row r="19" spans="1:4">
      <c r="A19" s="8" t="s">
        <v>546</v>
      </c>
      <c r="B19" s="8" t="s">
        <v>547</v>
      </c>
      <c r="C19" s="8" t="s">
        <v>548</v>
      </c>
      <c r="D19" s="8"/>
    </row>
    <row r="20" spans="1:4">
      <c r="A20" s="8" t="s">
        <v>549</v>
      </c>
      <c r="B20" s="8" t="s">
        <v>550</v>
      </c>
      <c r="C20" s="8" t="s">
        <v>551</v>
      </c>
      <c r="D20" s="8"/>
    </row>
    <row r="21" spans="1:4">
      <c r="A21" s="8" t="s">
        <v>552</v>
      </c>
      <c r="B21" s="8" t="s">
        <v>553</v>
      </c>
      <c r="C21" s="8" t="s">
        <v>554</v>
      </c>
      <c r="D21" s="8"/>
    </row>
    <row r="22" spans="1:4">
      <c r="A22" s="8" t="s">
        <v>555</v>
      </c>
      <c r="B22" s="8" t="s">
        <v>556</v>
      </c>
      <c r="C22" s="8" t="s">
        <v>557</v>
      </c>
      <c r="D22"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EE8F-3A58-481D-826A-454D6A92BBFA}">
  <dimension ref="A1:N55"/>
  <sheetViews>
    <sheetView tabSelected="1" topLeftCell="A22" workbookViewId="0">
      <selection activeCell="B26" sqref="B26"/>
    </sheetView>
  </sheetViews>
  <sheetFormatPr defaultRowHeight="15"/>
  <cols>
    <col min="1" max="1" width="44.140625" customWidth="1"/>
    <col min="2" max="3" width="25" customWidth="1"/>
    <col min="4" max="4" width="30.28515625" customWidth="1"/>
    <col min="5" max="5" width="18.7109375" customWidth="1"/>
    <col min="6" max="6" width="15.85546875" customWidth="1"/>
    <col min="7" max="7" width="22.140625" customWidth="1"/>
    <col min="8" max="8" width="20.42578125" customWidth="1"/>
    <col min="9" max="9" width="17.42578125" bestFit="1" customWidth="1"/>
    <col min="10" max="10" width="8.85546875" bestFit="1" customWidth="1"/>
    <col min="14" max="14" width="0" hidden="1" customWidth="1"/>
  </cols>
  <sheetData>
    <row r="1" spans="1:14">
      <c r="A1" s="9" t="s">
        <v>800</v>
      </c>
      <c r="B1" s="8"/>
      <c r="C1" s="8"/>
      <c r="D1" s="8"/>
      <c r="E1" s="8"/>
      <c r="F1" s="8"/>
      <c r="G1" s="8"/>
      <c r="H1" s="8"/>
      <c r="I1" s="8"/>
      <c r="J1" s="8"/>
      <c r="N1" t="s">
        <v>819</v>
      </c>
    </row>
    <row r="2" spans="1:14" ht="30">
      <c r="A2" s="9" t="s">
        <v>801</v>
      </c>
      <c r="B2" s="8"/>
      <c r="C2" s="8"/>
      <c r="D2" s="8"/>
      <c r="E2" s="8"/>
      <c r="F2" s="8"/>
      <c r="G2" s="8"/>
      <c r="H2" s="8"/>
      <c r="I2" s="8"/>
      <c r="J2" s="8"/>
      <c r="N2" t="s">
        <v>811</v>
      </c>
    </row>
    <row r="3" spans="1:14">
      <c r="A3" s="9" t="s">
        <v>802</v>
      </c>
      <c r="B3" s="21">
        <v>46204.563888888886</v>
      </c>
      <c r="C3" s="8"/>
      <c r="D3" s="8"/>
      <c r="E3" s="8"/>
      <c r="F3" s="8"/>
      <c r="G3" s="8"/>
      <c r="H3" s="8"/>
      <c r="I3" s="8"/>
      <c r="J3" s="8"/>
      <c r="N3" t="s">
        <v>820</v>
      </c>
    </row>
    <row r="4" spans="1:14">
      <c r="A4" s="9" t="s">
        <v>803</v>
      </c>
      <c r="B4" s="8">
        <v>15</v>
      </c>
      <c r="C4" s="8" t="s">
        <v>804</v>
      </c>
      <c r="D4" s="8">
        <v>31</v>
      </c>
      <c r="E4" s="8"/>
      <c r="F4" s="8"/>
      <c r="G4" s="8"/>
      <c r="H4" s="8"/>
      <c r="I4" s="8"/>
      <c r="J4" s="8"/>
    </row>
    <row r="5" spans="1:14">
      <c r="A5" s="8"/>
      <c r="B5" s="8"/>
      <c r="C5" s="8"/>
      <c r="D5" s="8"/>
      <c r="E5" s="8"/>
      <c r="F5" s="8"/>
      <c r="G5" s="8"/>
      <c r="H5" s="8"/>
      <c r="I5" s="8"/>
      <c r="J5" s="8"/>
      <c r="N5" t="s">
        <v>812</v>
      </c>
    </row>
    <row r="6" spans="1:14">
      <c r="A6" s="10" t="s">
        <v>805</v>
      </c>
      <c r="B6" s="8" t="s">
        <v>571</v>
      </c>
      <c r="C6" s="8" t="s">
        <v>806</v>
      </c>
      <c r="D6" s="8" t="s">
        <v>807</v>
      </c>
      <c r="E6" s="8" t="s">
        <v>808</v>
      </c>
      <c r="F6" s="8" t="s">
        <v>809</v>
      </c>
      <c r="G6" s="8" t="s">
        <v>810</v>
      </c>
      <c r="H6" s="8" t="s">
        <v>518</v>
      </c>
      <c r="I6" s="8"/>
      <c r="J6" s="8"/>
      <c r="N6" t="s">
        <v>821</v>
      </c>
    </row>
    <row r="7" spans="1:14" ht="45">
      <c r="A7" s="8" t="s">
        <v>811</v>
      </c>
      <c r="B7" s="8" t="s">
        <v>782</v>
      </c>
      <c r="C7" s="8" t="s">
        <v>812</v>
      </c>
      <c r="D7" s="8"/>
      <c r="E7" s="8"/>
      <c r="F7" s="8">
        <v>2</v>
      </c>
      <c r="G7" s="8" t="s">
        <v>813</v>
      </c>
      <c r="H7" s="8"/>
      <c r="I7" s="8"/>
      <c r="J7" s="8"/>
      <c r="N7" t="s">
        <v>822</v>
      </c>
    </row>
    <row r="8" spans="1:14" ht="30">
      <c r="A8" s="8" t="s">
        <v>811</v>
      </c>
      <c r="B8" s="8" t="s">
        <v>257</v>
      </c>
      <c r="C8" s="8" t="s">
        <v>812</v>
      </c>
      <c r="D8" s="8"/>
      <c r="E8" s="8"/>
      <c r="F8" s="8">
        <v>1</v>
      </c>
      <c r="G8" s="8" t="s">
        <v>253</v>
      </c>
      <c r="H8" s="8"/>
      <c r="I8" s="8"/>
      <c r="J8" s="8"/>
      <c r="N8" t="s">
        <v>823</v>
      </c>
    </row>
    <row r="9" spans="1:14" ht="30">
      <c r="A9" s="8" t="s">
        <v>811</v>
      </c>
      <c r="B9" s="8" t="s">
        <v>281</v>
      </c>
      <c r="C9" s="8" t="s">
        <v>812</v>
      </c>
      <c r="D9" s="8"/>
      <c r="E9" s="8"/>
      <c r="F9" s="8">
        <v>1</v>
      </c>
      <c r="G9" s="8" t="s">
        <v>277</v>
      </c>
      <c r="H9" s="8"/>
      <c r="I9" s="8"/>
      <c r="J9" s="8"/>
    </row>
    <row r="10" spans="1:14" ht="30">
      <c r="A10" s="8" t="s">
        <v>811</v>
      </c>
      <c r="B10" s="8" t="s">
        <v>295</v>
      </c>
      <c r="C10" s="8" t="s">
        <v>812</v>
      </c>
      <c r="D10" s="8"/>
      <c r="E10" s="8"/>
      <c r="F10" s="8">
        <v>1</v>
      </c>
      <c r="G10" s="8" t="s">
        <v>291</v>
      </c>
      <c r="H10" s="8"/>
      <c r="I10" s="8"/>
      <c r="J10" s="8"/>
    </row>
    <row r="11" spans="1:14" ht="45">
      <c r="A11" s="8" t="s">
        <v>811</v>
      </c>
      <c r="B11" s="8" t="s">
        <v>777</v>
      </c>
      <c r="C11" s="8" t="s">
        <v>812</v>
      </c>
      <c r="D11" s="8"/>
      <c r="E11" s="8"/>
      <c r="F11" s="8">
        <v>1</v>
      </c>
      <c r="G11" s="8" t="s">
        <v>779</v>
      </c>
      <c r="H11" s="8"/>
      <c r="I11" s="8"/>
      <c r="J11" s="8"/>
    </row>
    <row r="12" spans="1:14" ht="45">
      <c r="A12" s="8" t="s">
        <v>811</v>
      </c>
      <c r="B12" s="8" t="s">
        <v>349</v>
      </c>
      <c r="C12" s="8" t="s">
        <v>812</v>
      </c>
      <c r="D12" s="8"/>
      <c r="E12" s="8"/>
      <c r="F12" s="8">
        <v>1</v>
      </c>
      <c r="G12" s="8" t="s">
        <v>345</v>
      </c>
      <c r="H12" s="8"/>
      <c r="I12" s="8"/>
      <c r="J12" s="8"/>
    </row>
    <row r="13" spans="1:14">
      <c r="A13" s="8" t="s">
        <v>811</v>
      </c>
      <c r="B13" s="8" t="s">
        <v>110</v>
      </c>
      <c r="C13" s="8" t="s">
        <v>812</v>
      </c>
      <c r="D13" s="8"/>
      <c r="E13" s="8"/>
      <c r="F13" s="8">
        <v>1</v>
      </c>
      <c r="G13" s="8" t="s">
        <v>106</v>
      </c>
      <c r="H13" s="8"/>
      <c r="I13" s="8"/>
      <c r="J13" s="8"/>
    </row>
    <row r="14" spans="1:14">
      <c r="A14" s="8" t="s">
        <v>811</v>
      </c>
      <c r="B14" s="8" t="s">
        <v>486</v>
      </c>
      <c r="C14" s="8" t="s">
        <v>812</v>
      </c>
      <c r="D14" s="8"/>
      <c r="E14" s="8"/>
      <c r="F14" s="8">
        <v>1</v>
      </c>
      <c r="G14" s="8" t="s">
        <v>483</v>
      </c>
      <c r="H14" s="8"/>
      <c r="I14" s="8"/>
      <c r="J14" s="8"/>
    </row>
    <row r="15" spans="1:14">
      <c r="A15" s="8" t="s">
        <v>811</v>
      </c>
      <c r="B15" s="8" t="s">
        <v>479</v>
      </c>
      <c r="C15" s="8" t="s">
        <v>812</v>
      </c>
      <c r="D15" s="8"/>
      <c r="E15" s="8"/>
      <c r="F15" s="8">
        <v>1</v>
      </c>
      <c r="G15" s="8" t="s">
        <v>475</v>
      </c>
      <c r="H15" s="8"/>
      <c r="I15" s="8"/>
      <c r="J15" s="8"/>
    </row>
    <row r="16" spans="1:14">
      <c r="A16" s="8" t="s">
        <v>811</v>
      </c>
      <c r="B16" s="8" t="s">
        <v>365</v>
      </c>
      <c r="C16" s="8" t="s">
        <v>812</v>
      </c>
      <c r="D16" s="8"/>
      <c r="E16" s="8"/>
      <c r="F16" s="8">
        <v>1</v>
      </c>
      <c r="G16" s="8" t="s">
        <v>361</v>
      </c>
      <c r="H16" s="8"/>
      <c r="I16" s="8"/>
      <c r="J16" s="8"/>
    </row>
    <row r="17" spans="1:10" ht="30">
      <c r="A17" s="8" t="s">
        <v>811</v>
      </c>
      <c r="B17" s="8" t="s">
        <v>312</v>
      </c>
      <c r="C17" s="8" t="s">
        <v>812</v>
      </c>
      <c r="D17" s="8"/>
      <c r="E17" s="8"/>
      <c r="F17" s="8">
        <v>1</v>
      </c>
      <c r="G17" s="8" t="s">
        <v>308</v>
      </c>
      <c r="H17" s="8"/>
      <c r="I17" s="8"/>
      <c r="J17" s="8"/>
    </row>
    <row r="18" spans="1:10" ht="45">
      <c r="A18" s="8" t="s">
        <v>811</v>
      </c>
      <c r="B18" s="8" t="s">
        <v>373</v>
      </c>
      <c r="C18" s="8" t="s">
        <v>812</v>
      </c>
      <c r="D18" s="8"/>
      <c r="E18" s="8"/>
      <c r="F18" s="8">
        <v>16</v>
      </c>
      <c r="G18" s="8" t="s">
        <v>814</v>
      </c>
      <c r="H18" s="8"/>
      <c r="I18" s="8"/>
      <c r="J18" s="8"/>
    </row>
    <row r="19" spans="1:10" ht="30">
      <c r="A19" s="8" t="s">
        <v>811</v>
      </c>
      <c r="B19" s="8" t="s">
        <v>221</v>
      </c>
      <c r="C19" s="8" t="s">
        <v>812</v>
      </c>
      <c r="D19" s="8"/>
      <c r="E19" s="8"/>
      <c r="F19" s="8">
        <v>1</v>
      </c>
      <c r="G19" s="8" t="s">
        <v>338</v>
      </c>
      <c r="H19" s="8"/>
      <c r="I19" s="8"/>
      <c r="J19" s="8"/>
    </row>
    <row r="20" spans="1:10" ht="30">
      <c r="A20" s="8" t="s">
        <v>811</v>
      </c>
      <c r="B20" s="8" t="s">
        <v>273</v>
      </c>
      <c r="C20" s="8" t="s">
        <v>812</v>
      </c>
      <c r="D20" s="8"/>
      <c r="E20" s="8"/>
      <c r="F20" s="8">
        <v>1</v>
      </c>
      <c r="G20" s="8" t="s">
        <v>269</v>
      </c>
      <c r="H20" s="8"/>
      <c r="I20" s="8"/>
      <c r="J20" s="8"/>
    </row>
    <row r="21" spans="1:10" ht="30">
      <c r="A21" s="4" t="s">
        <v>811</v>
      </c>
      <c r="B21" s="8" t="s">
        <v>796</v>
      </c>
      <c r="C21" s="8" t="s">
        <v>812</v>
      </c>
      <c r="D21" s="8"/>
      <c r="E21" s="8"/>
      <c r="F21" s="8">
        <v>1</v>
      </c>
      <c r="G21" s="8" t="s">
        <v>793</v>
      </c>
      <c r="H21" s="8"/>
      <c r="I21" s="8"/>
      <c r="J21" s="8"/>
    </row>
    <row r="22" spans="1:10">
      <c r="A22" s="8"/>
      <c r="B22" s="8"/>
      <c r="C22" s="8"/>
      <c r="D22" s="8"/>
      <c r="E22" s="8"/>
      <c r="F22" s="8"/>
      <c r="G22" s="8"/>
      <c r="H22" s="8"/>
      <c r="I22" s="8"/>
      <c r="J22" s="8"/>
    </row>
    <row r="23" spans="1:10">
      <c r="A23" s="8" t="s">
        <v>815</v>
      </c>
      <c r="B23" s="8"/>
      <c r="C23" s="8"/>
      <c r="D23" s="8"/>
      <c r="E23" s="8"/>
      <c r="F23" s="8"/>
      <c r="G23" s="8"/>
      <c r="H23" s="8"/>
      <c r="I23" s="8"/>
      <c r="J23" s="8"/>
    </row>
    <row r="24" spans="1:10" ht="30">
      <c r="A24" s="10" t="s">
        <v>805</v>
      </c>
      <c r="B24" s="8" t="s">
        <v>21</v>
      </c>
      <c r="C24" s="8" t="s">
        <v>568</v>
      </c>
      <c r="D24" s="8" t="s">
        <v>5</v>
      </c>
      <c r="E24" s="8" t="s">
        <v>567</v>
      </c>
      <c r="F24" s="8" t="s">
        <v>571</v>
      </c>
      <c r="G24" s="8" t="s">
        <v>816</v>
      </c>
      <c r="H24" s="8" t="s">
        <v>28</v>
      </c>
      <c r="I24" s="8" t="s">
        <v>31</v>
      </c>
      <c r="J24" s="8" t="s">
        <v>817</v>
      </c>
    </row>
    <row r="25" spans="1:10" ht="60">
      <c r="A25" s="8" t="s">
        <v>811</v>
      </c>
      <c r="B25" s="8" t="s">
        <v>106</v>
      </c>
      <c r="C25" s="8" t="s">
        <v>108</v>
      </c>
      <c r="D25" s="8" t="s">
        <v>9</v>
      </c>
      <c r="E25" s="8" t="s">
        <v>771</v>
      </c>
      <c r="F25" s="8" t="s">
        <v>110</v>
      </c>
      <c r="G25" s="8" t="s">
        <v>818</v>
      </c>
      <c r="H25" s="8" t="s">
        <v>111</v>
      </c>
      <c r="I25" s="8" t="s">
        <v>114</v>
      </c>
      <c r="J25" s="8"/>
    </row>
    <row r="26" spans="1:10" ht="60">
      <c r="A26" s="8" t="s">
        <v>811</v>
      </c>
      <c r="B26" s="8" t="s">
        <v>253</v>
      </c>
      <c r="C26" s="8" t="s">
        <v>255</v>
      </c>
      <c r="D26" s="8" t="s">
        <v>10</v>
      </c>
      <c r="E26" s="8" t="s">
        <v>771</v>
      </c>
      <c r="F26" s="8" t="s">
        <v>257</v>
      </c>
      <c r="G26" s="8" t="s">
        <v>818</v>
      </c>
      <c r="H26" s="8" t="s">
        <v>258</v>
      </c>
      <c r="I26" s="8" t="s">
        <v>260</v>
      </c>
      <c r="J26" s="8"/>
    </row>
    <row r="27" spans="1:10" ht="75">
      <c r="A27" s="8" t="s">
        <v>811</v>
      </c>
      <c r="B27" s="8" t="s">
        <v>269</v>
      </c>
      <c r="C27" s="8" t="s">
        <v>271</v>
      </c>
      <c r="D27" s="8" t="s">
        <v>10</v>
      </c>
      <c r="E27" s="8" t="s">
        <v>771</v>
      </c>
      <c r="F27" s="8" t="s">
        <v>273</v>
      </c>
      <c r="G27" s="8" t="s">
        <v>818</v>
      </c>
      <c r="H27" s="8" t="s">
        <v>274</v>
      </c>
      <c r="I27" s="8" t="s">
        <v>276</v>
      </c>
      <c r="J27" s="8"/>
    </row>
    <row r="28" spans="1:10" ht="60">
      <c r="A28" s="8" t="s">
        <v>811</v>
      </c>
      <c r="B28" s="8" t="s">
        <v>277</v>
      </c>
      <c r="C28" s="8" t="s">
        <v>279</v>
      </c>
      <c r="D28" s="8" t="s">
        <v>10</v>
      </c>
      <c r="E28" s="8" t="s">
        <v>771</v>
      </c>
      <c r="F28" s="8" t="s">
        <v>281</v>
      </c>
      <c r="G28" s="8" t="s">
        <v>818</v>
      </c>
      <c r="H28" s="8" t="s">
        <v>282</v>
      </c>
      <c r="I28" s="8" t="s">
        <v>284</v>
      </c>
      <c r="J28" s="8"/>
    </row>
    <row r="29" spans="1:10" ht="60">
      <c r="A29" s="8" t="s">
        <v>811</v>
      </c>
      <c r="B29" s="8" t="s">
        <v>291</v>
      </c>
      <c r="C29" s="8" t="s">
        <v>293</v>
      </c>
      <c r="D29" s="8" t="s">
        <v>10</v>
      </c>
      <c r="E29" s="8" t="s">
        <v>771</v>
      </c>
      <c r="F29" s="8" t="s">
        <v>295</v>
      </c>
      <c r="G29" s="8" t="s">
        <v>818</v>
      </c>
      <c r="H29" s="8" t="s">
        <v>296</v>
      </c>
      <c r="I29" s="8" t="s">
        <v>298</v>
      </c>
      <c r="J29" s="8"/>
    </row>
    <row r="30" spans="1:10" ht="60">
      <c r="A30" s="8" t="s">
        <v>811</v>
      </c>
      <c r="B30" s="8" t="s">
        <v>308</v>
      </c>
      <c r="C30" s="8" t="s">
        <v>310</v>
      </c>
      <c r="D30" s="8" t="s">
        <v>10</v>
      </c>
      <c r="E30" s="8" t="s">
        <v>771</v>
      </c>
      <c r="F30" s="8" t="s">
        <v>312</v>
      </c>
      <c r="G30" s="8" t="s">
        <v>818</v>
      </c>
      <c r="H30" s="8" t="s">
        <v>313</v>
      </c>
      <c r="I30" s="8" t="s">
        <v>315</v>
      </c>
      <c r="J30" s="8"/>
    </row>
    <row r="31" spans="1:10" ht="60">
      <c r="A31" s="8" t="s">
        <v>811</v>
      </c>
      <c r="B31" s="8" t="s">
        <v>338</v>
      </c>
      <c r="C31" s="8" t="s">
        <v>340</v>
      </c>
      <c r="D31" s="8" t="s">
        <v>10</v>
      </c>
      <c r="E31" s="8" t="s">
        <v>771</v>
      </c>
      <c r="F31" s="8" t="s">
        <v>221</v>
      </c>
      <c r="G31" s="8" t="s">
        <v>818</v>
      </c>
      <c r="H31" s="8" t="s">
        <v>342</v>
      </c>
      <c r="I31" s="8" t="s">
        <v>344</v>
      </c>
      <c r="J31" s="8"/>
    </row>
    <row r="32" spans="1:10" ht="90">
      <c r="A32" s="8" t="s">
        <v>811</v>
      </c>
      <c r="B32" s="8" t="s">
        <v>345</v>
      </c>
      <c r="C32" s="8" t="s">
        <v>347</v>
      </c>
      <c r="D32" s="8" t="s">
        <v>10</v>
      </c>
      <c r="E32" s="8" t="s">
        <v>771</v>
      </c>
      <c r="F32" s="8" t="s">
        <v>349</v>
      </c>
      <c r="G32" s="8" t="s">
        <v>818</v>
      </c>
      <c r="H32" s="8" t="s">
        <v>350</v>
      </c>
      <c r="I32" s="8" t="s">
        <v>352</v>
      </c>
      <c r="J32" s="8"/>
    </row>
    <row r="33" spans="1:10" ht="60">
      <c r="A33" s="8" t="s">
        <v>811</v>
      </c>
      <c r="B33" s="8" t="s">
        <v>475</v>
      </c>
      <c r="C33" s="8" t="s">
        <v>477</v>
      </c>
      <c r="D33" s="8" t="s">
        <v>11</v>
      </c>
      <c r="E33" s="8" t="s">
        <v>771</v>
      </c>
      <c r="F33" s="8" t="s">
        <v>479</v>
      </c>
      <c r="G33" s="8" t="s">
        <v>818</v>
      </c>
      <c r="H33" s="8" t="s">
        <v>480</v>
      </c>
      <c r="I33" s="8" t="s">
        <v>482</v>
      </c>
      <c r="J33" s="8"/>
    </row>
    <row r="34" spans="1:10" ht="60">
      <c r="A34" s="8" t="s">
        <v>811</v>
      </c>
      <c r="B34" s="8" t="s">
        <v>483</v>
      </c>
      <c r="C34" s="8" t="s">
        <v>484</v>
      </c>
      <c r="D34" s="8" t="s">
        <v>11</v>
      </c>
      <c r="E34" s="8" t="s">
        <v>771</v>
      </c>
      <c r="F34" s="8" t="s">
        <v>486</v>
      </c>
      <c r="G34" s="8" t="s">
        <v>818</v>
      </c>
      <c r="H34" s="8" t="s">
        <v>487</v>
      </c>
      <c r="I34" s="8" t="s">
        <v>489</v>
      </c>
      <c r="J34" s="8"/>
    </row>
    <row r="35" spans="1:10" ht="90">
      <c r="A35" s="8" t="s">
        <v>811</v>
      </c>
      <c r="B35" s="8" t="s">
        <v>779</v>
      </c>
      <c r="C35" s="8" t="s">
        <v>775</v>
      </c>
      <c r="D35" s="8" t="s">
        <v>11</v>
      </c>
      <c r="E35" s="8" t="s">
        <v>771</v>
      </c>
      <c r="F35" s="8" t="s">
        <v>777</v>
      </c>
      <c r="G35" s="8" t="s">
        <v>818</v>
      </c>
      <c r="H35" s="8" t="s">
        <v>778</v>
      </c>
      <c r="I35" s="8" t="s">
        <v>561</v>
      </c>
      <c r="J35" s="8"/>
    </row>
    <row r="36" spans="1:10" ht="75">
      <c r="A36" s="8" t="s">
        <v>811</v>
      </c>
      <c r="B36" s="8" t="s">
        <v>780</v>
      </c>
      <c r="C36" s="8" t="s">
        <v>781</v>
      </c>
      <c r="D36" s="8" t="s">
        <v>11</v>
      </c>
      <c r="E36" s="8" t="s">
        <v>771</v>
      </c>
      <c r="F36" s="8" t="s">
        <v>782</v>
      </c>
      <c r="G36" s="8" t="s">
        <v>818</v>
      </c>
      <c r="H36" s="8" t="s">
        <v>784</v>
      </c>
      <c r="I36" s="8" t="s">
        <v>561</v>
      </c>
      <c r="J36" s="8"/>
    </row>
    <row r="37" spans="1:10" ht="195">
      <c r="A37" s="8" t="s">
        <v>811</v>
      </c>
      <c r="B37" s="8" t="s">
        <v>787</v>
      </c>
      <c r="C37" s="8" t="s">
        <v>788</v>
      </c>
      <c r="D37" s="8" t="s">
        <v>11</v>
      </c>
      <c r="E37" s="8" t="s">
        <v>771</v>
      </c>
      <c r="F37" s="8" t="s">
        <v>782</v>
      </c>
      <c r="G37" s="8" t="s">
        <v>818</v>
      </c>
      <c r="H37" s="8" t="s">
        <v>790</v>
      </c>
      <c r="I37" s="8" t="s">
        <v>792</v>
      </c>
      <c r="J37" s="8"/>
    </row>
    <row r="38" spans="1:10" ht="405">
      <c r="A38" s="8" t="s">
        <v>811</v>
      </c>
      <c r="B38" s="8" t="s">
        <v>793</v>
      </c>
      <c r="C38" s="8" t="s">
        <v>794</v>
      </c>
      <c r="D38" s="8" t="s">
        <v>11</v>
      </c>
      <c r="E38" s="8" t="s">
        <v>771</v>
      </c>
      <c r="F38" s="8" t="s">
        <v>796</v>
      </c>
      <c r="G38" s="8" t="s">
        <v>818</v>
      </c>
      <c r="H38" s="8" t="s">
        <v>797</v>
      </c>
      <c r="I38" s="8" t="s">
        <v>799</v>
      </c>
      <c r="J38" s="8"/>
    </row>
    <row r="39" spans="1:10" ht="75">
      <c r="A39" s="8" t="s">
        <v>811</v>
      </c>
      <c r="B39" s="8" t="s">
        <v>361</v>
      </c>
      <c r="C39" s="8" t="s">
        <v>363</v>
      </c>
      <c r="D39" s="8" t="s">
        <v>11</v>
      </c>
      <c r="E39" s="8" t="s">
        <v>771</v>
      </c>
      <c r="F39" s="8" t="s">
        <v>365</v>
      </c>
      <c r="G39" s="8" t="s">
        <v>818</v>
      </c>
      <c r="H39" s="8" t="s">
        <v>366</v>
      </c>
      <c r="I39" s="8" t="s">
        <v>368</v>
      </c>
      <c r="J39" s="8"/>
    </row>
    <row r="40" spans="1:10" ht="45">
      <c r="A40" s="8" t="s">
        <v>811</v>
      </c>
      <c r="B40" s="8" t="s">
        <v>369</v>
      </c>
      <c r="C40" s="8" t="s">
        <v>371</v>
      </c>
      <c r="D40" s="8" t="s">
        <v>11</v>
      </c>
      <c r="E40" s="8" t="s">
        <v>771</v>
      </c>
      <c r="F40" s="8" t="s">
        <v>373</v>
      </c>
      <c r="G40" s="8" t="s">
        <v>818</v>
      </c>
      <c r="H40" s="8" t="s">
        <v>374</v>
      </c>
      <c r="I40" s="8" t="s">
        <v>376</v>
      </c>
      <c r="J40" s="8"/>
    </row>
    <row r="41" spans="1:10" ht="60">
      <c r="A41" s="8" t="s">
        <v>811</v>
      </c>
      <c r="B41" s="8" t="s">
        <v>377</v>
      </c>
      <c r="C41" s="8" t="s">
        <v>378</v>
      </c>
      <c r="D41" s="8" t="s">
        <v>11</v>
      </c>
      <c r="E41" s="8" t="s">
        <v>771</v>
      </c>
      <c r="F41" s="8" t="s">
        <v>373</v>
      </c>
      <c r="G41" s="8" t="s">
        <v>818</v>
      </c>
      <c r="H41" s="8" t="s">
        <v>380</v>
      </c>
      <c r="I41" s="8" t="s">
        <v>382</v>
      </c>
      <c r="J41" s="8"/>
    </row>
    <row r="42" spans="1:10" ht="45">
      <c r="A42" s="8" t="s">
        <v>811</v>
      </c>
      <c r="B42" s="8" t="s">
        <v>383</v>
      </c>
      <c r="C42" s="8" t="s">
        <v>384</v>
      </c>
      <c r="D42" s="8" t="s">
        <v>11</v>
      </c>
      <c r="E42" s="8" t="s">
        <v>771</v>
      </c>
      <c r="F42" s="8" t="s">
        <v>373</v>
      </c>
      <c r="G42" s="8" t="s">
        <v>818</v>
      </c>
      <c r="H42" s="8" t="s">
        <v>386</v>
      </c>
      <c r="I42" s="8" t="s">
        <v>388</v>
      </c>
      <c r="J42" s="8"/>
    </row>
    <row r="43" spans="1:10" ht="60">
      <c r="A43" s="8" t="s">
        <v>811</v>
      </c>
      <c r="B43" s="8" t="s">
        <v>389</v>
      </c>
      <c r="C43" s="8" t="s">
        <v>390</v>
      </c>
      <c r="D43" s="8" t="s">
        <v>11</v>
      </c>
      <c r="E43" s="8" t="s">
        <v>771</v>
      </c>
      <c r="F43" s="8" t="s">
        <v>373</v>
      </c>
      <c r="G43" s="8" t="s">
        <v>818</v>
      </c>
      <c r="H43" s="8" t="s">
        <v>392</v>
      </c>
      <c r="I43" s="8" t="s">
        <v>394</v>
      </c>
      <c r="J43" s="8"/>
    </row>
    <row r="44" spans="1:10" ht="60">
      <c r="A44" s="8" t="s">
        <v>811</v>
      </c>
      <c r="B44" s="8" t="s">
        <v>395</v>
      </c>
      <c r="C44" s="8" t="s">
        <v>396</v>
      </c>
      <c r="D44" s="8" t="s">
        <v>11</v>
      </c>
      <c r="E44" s="8" t="s">
        <v>771</v>
      </c>
      <c r="F44" s="8" t="s">
        <v>373</v>
      </c>
      <c r="G44" s="8" t="s">
        <v>818</v>
      </c>
      <c r="H44" s="8" t="s">
        <v>398</v>
      </c>
      <c r="I44" s="8" t="s">
        <v>400</v>
      </c>
      <c r="J44" s="8"/>
    </row>
    <row r="45" spans="1:10" ht="45">
      <c r="A45" s="8" t="s">
        <v>811</v>
      </c>
      <c r="B45" s="8" t="s">
        <v>401</v>
      </c>
      <c r="C45" s="8" t="s">
        <v>402</v>
      </c>
      <c r="D45" s="8" t="s">
        <v>11</v>
      </c>
      <c r="E45" s="8" t="s">
        <v>771</v>
      </c>
      <c r="F45" s="8" t="s">
        <v>373</v>
      </c>
      <c r="G45" s="8" t="s">
        <v>818</v>
      </c>
      <c r="H45" s="8" t="s">
        <v>404</v>
      </c>
      <c r="I45" s="8" t="s">
        <v>406</v>
      </c>
      <c r="J45" s="8"/>
    </row>
    <row r="46" spans="1:10" ht="45">
      <c r="A46" s="8" t="s">
        <v>811</v>
      </c>
      <c r="B46" s="8" t="s">
        <v>407</v>
      </c>
      <c r="C46" s="8" t="s">
        <v>408</v>
      </c>
      <c r="D46" s="8" t="s">
        <v>11</v>
      </c>
      <c r="E46" s="8" t="s">
        <v>771</v>
      </c>
      <c r="F46" s="8" t="s">
        <v>373</v>
      </c>
      <c r="G46" s="8" t="s">
        <v>818</v>
      </c>
      <c r="H46" s="8" t="s">
        <v>410</v>
      </c>
      <c r="I46" s="8" t="s">
        <v>412</v>
      </c>
      <c r="J46" s="8"/>
    </row>
    <row r="47" spans="1:10" ht="60">
      <c r="A47" s="8" t="s">
        <v>811</v>
      </c>
      <c r="B47" s="8" t="s">
        <v>413</v>
      </c>
      <c r="C47" s="8" t="s">
        <v>415</v>
      </c>
      <c r="D47" s="8" t="s">
        <v>11</v>
      </c>
      <c r="E47" s="8" t="s">
        <v>771</v>
      </c>
      <c r="F47" s="8" t="s">
        <v>373</v>
      </c>
      <c r="G47" s="8" t="s">
        <v>818</v>
      </c>
      <c r="H47" s="8" t="s">
        <v>417</v>
      </c>
      <c r="I47" s="8" t="s">
        <v>419</v>
      </c>
      <c r="J47" s="8"/>
    </row>
    <row r="48" spans="1:10" ht="45">
      <c r="A48" s="8" t="s">
        <v>811</v>
      </c>
      <c r="B48" s="8" t="s">
        <v>420</v>
      </c>
      <c r="C48" s="8" t="s">
        <v>422</v>
      </c>
      <c r="D48" s="8" t="s">
        <v>11</v>
      </c>
      <c r="E48" s="8" t="s">
        <v>771</v>
      </c>
      <c r="F48" s="8" t="s">
        <v>373</v>
      </c>
      <c r="G48" s="8" t="s">
        <v>818</v>
      </c>
      <c r="H48" s="8" t="s">
        <v>424</v>
      </c>
      <c r="I48" s="8" t="s">
        <v>426</v>
      </c>
      <c r="J48" s="8"/>
    </row>
    <row r="49" spans="1:10" ht="75">
      <c r="A49" s="8" t="s">
        <v>811</v>
      </c>
      <c r="B49" s="8" t="s">
        <v>427</v>
      </c>
      <c r="C49" s="8" t="s">
        <v>428</v>
      </c>
      <c r="D49" s="8" t="s">
        <v>11</v>
      </c>
      <c r="E49" s="8" t="s">
        <v>771</v>
      </c>
      <c r="F49" s="8" t="s">
        <v>373</v>
      </c>
      <c r="G49" s="8" t="s">
        <v>818</v>
      </c>
      <c r="H49" s="8" t="s">
        <v>430</v>
      </c>
      <c r="I49" s="8" t="s">
        <v>432</v>
      </c>
      <c r="J49" s="8"/>
    </row>
    <row r="50" spans="1:10" ht="45">
      <c r="A50" s="8" t="s">
        <v>811</v>
      </c>
      <c r="B50" s="8" t="s">
        <v>433</v>
      </c>
      <c r="C50" s="8" t="s">
        <v>435</v>
      </c>
      <c r="D50" s="8" t="s">
        <v>11</v>
      </c>
      <c r="E50" s="8" t="s">
        <v>771</v>
      </c>
      <c r="F50" s="8" t="s">
        <v>373</v>
      </c>
      <c r="G50" s="8" t="s">
        <v>818</v>
      </c>
      <c r="H50" s="8" t="s">
        <v>437</v>
      </c>
      <c r="I50" s="8" t="s">
        <v>439</v>
      </c>
      <c r="J50" s="8"/>
    </row>
    <row r="51" spans="1:10" ht="45">
      <c r="A51" s="8" t="s">
        <v>811</v>
      </c>
      <c r="B51" s="8" t="s">
        <v>440</v>
      </c>
      <c r="C51" s="8" t="s">
        <v>442</v>
      </c>
      <c r="D51" s="8" t="s">
        <v>11</v>
      </c>
      <c r="E51" s="8" t="s">
        <v>771</v>
      </c>
      <c r="F51" s="8" t="s">
        <v>373</v>
      </c>
      <c r="G51" s="8" t="s">
        <v>818</v>
      </c>
      <c r="H51" s="8" t="s">
        <v>444</v>
      </c>
      <c r="I51" s="8" t="s">
        <v>446</v>
      </c>
      <c r="J51" s="8"/>
    </row>
    <row r="52" spans="1:10" ht="60">
      <c r="A52" s="8" t="s">
        <v>811</v>
      </c>
      <c r="B52" s="8" t="s">
        <v>447</v>
      </c>
      <c r="C52" s="8" t="s">
        <v>449</v>
      </c>
      <c r="D52" s="8" t="s">
        <v>11</v>
      </c>
      <c r="E52" s="8" t="s">
        <v>771</v>
      </c>
      <c r="F52" s="8" t="s">
        <v>373</v>
      </c>
      <c r="G52" s="8" t="s">
        <v>818</v>
      </c>
      <c r="H52" s="8" t="s">
        <v>451</v>
      </c>
      <c r="I52" s="8" t="s">
        <v>453</v>
      </c>
      <c r="J52" s="8"/>
    </row>
    <row r="53" spans="1:10" ht="45">
      <c r="A53" s="8" t="s">
        <v>811</v>
      </c>
      <c r="B53" s="8" t="s">
        <v>454</v>
      </c>
      <c r="C53" s="8" t="s">
        <v>456</v>
      </c>
      <c r="D53" s="8" t="s">
        <v>11</v>
      </c>
      <c r="E53" s="8" t="s">
        <v>771</v>
      </c>
      <c r="F53" s="8" t="s">
        <v>373</v>
      </c>
      <c r="G53" s="8" t="s">
        <v>818</v>
      </c>
      <c r="H53" s="8" t="s">
        <v>458</v>
      </c>
      <c r="I53" s="8" t="s">
        <v>460</v>
      </c>
      <c r="J53" s="8"/>
    </row>
    <row r="54" spans="1:10" ht="45">
      <c r="A54" s="8" t="s">
        <v>811</v>
      </c>
      <c r="B54" s="8" t="s">
        <v>461</v>
      </c>
      <c r="C54" s="8" t="s">
        <v>463</v>
      </c>
      <c r="D54" s="8" t="s">
        <v>11</v>
      </c>
      <c r="E54" s="8" t="s">
        <v>771</v>
      </c>
      <c r="F54" s="8" t="s">
        <v>373</v>
      </c>
      <c r="G54" s="8" t="s">
        <v>818</v>
      </c>
      <c r="H54" s="8" t="s">
        <v>465</v>
      </c>
      <c r="I54" s="8" t="s">
        <v>467</v>
      </c>
      <c r="J54" s="8"/>
    </row>
    <row r="55" spans="1:10" ht="60">
      <c r="A55" s="4" t="s">
        <v>811</v>
      </c>
      <c r="B55" s="8" t="s">
        <v>468</v>
      </c>
      <c r="C55" s="8" t="s">
        <v>470</v>
      </c>
      <c r="D55" s="8" t="s">
        <v>11</v>
      </c>
      <c r="E55" s="8" t="s">
        <v>771</v>
      </c>
      <c r="F55" s="8" t="s">
        <v>373</v>
      </c>
      <c r="G55" s="8" t="s">
        <v>818</v>
      </c>
      <c r="H55" s="8" t="s">
        <v>472</v>
      </c>
      <c r="I55" s="8" t="s">
        <v>474</v>
      </c>
      <c r="J55" s="8"/>
    </row>
  </sheetData>
  <dataValidations count="2">
    <dataValidation type="list" allowBlank="1" showInputMessage="1" showErrorMessage="1" sqref="A7:A21 A25:A55" xr:uid="{284376D3-21F6-4EE0-AEFA-E014A33495D3}">
      <formula1>$N$2:$N$3</formula1>
    </dataValidation>
    <dataValidation type="list" allowBlank="1" showInputMessage="1" showErrorMessage="1" sqref="C7:C21 G25:G55" xr:uid="{19A6D418-6A6C-4B7E-B1D3-885F4AF26FE1}">
      <formula1>$N$5:$N$8</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681D3-03F2-4DD6-9527-AA793EC1D60F}">
  <dimension ref="A1:L101"/>
  <sheetViews>
    <sheetView topLeftCell="H16" workbookViewId="0">
      <selection activeCell="J36" sqref="J36:J37"/>
    </sheetView>
  </sheetViews>
  <sheetFormatPr defaultRowHeight="15"/>
  <cols>
    <col min="1" max="1" width="11.85546875" customWidth="1"/>
    <col min="2" max="2" width="15.7109375" customWidth="1"/>
    <col min="3" max="3" width="6.7109375" bestFit="1" customWidth="1"/>
    <col min="4" max="4" width="15.42578125" customWidth="1"/>
    <col min="5" max="5" width="22" customWidth="1"/>
    <col min="6" max="6" width="16.42578125" customWidth="1"/>
    <col min="7" max="7" width="47" customWidth="1"/>
    <col min="8" max="8" width="104.85546875" customWidth="1"/>
    <col min="9" max="9" width="59.140625" customWidth="1"/>
    <col min="10" max="10" width="83.140625" customWidth="1"/>
    <col min="11" max="11" width="77.5703125" customWidth="1"/>
    <col min="12" max="12" width="49.85546875" customWidth="1"/>
  </cols>
  <sheetData>
    <row r="1" spans="1:12" ht="15" customHeight="1">
      <c r="A1" s="13" t="s">
        <v>566</v>
      </c>
      <c r="B1" s="14" t="s">
        <v>567</v>
      </c>
      <c r="C1" s="14" t="s">
        <v>5</v>
      </c>
      <c r="D1" s="14" t="s">
        <v>568</v>
      </c>
      <c r="E1" s="14" t="s">
        <v>569</v>
      </c>
      <c r="F1" s="14" t="s">
        <v>23</v>
      </c>
      <c r="G1" s="14" t="s">
        <v>24</v>
      </c>
      <c r="H1" s="14" t="s">
        <v>570</v>
      </c>
      <c r="I1" s="14" t="s">
        <v>571</v>
      </c>
      <c r="J1" s="14" t="s">
        <v>572</v>
      </c>
      <c r="K1" s="14" t="s">
        <v>29</v>
      </c>
      <c r="L1" s="15" t="s">
        <v>518</v>
      </c>
    </row>
    <row r="2" spans="1:12" ht="15" customHeight="1">
      <c r="A2" s="11" t="s">
        <v>650</v>
      </c>
      <c r="B2" s="6" t="s">
        <v>6</v>
      </c>
      <c r="C2" s="4" t="s">
        <v>9</v>
      </c>
      <c r="D2" s="4" t="s">
        <v>651</v>
      </c>
      <c r="E2" s="4" t="s">
        <v>631</v>
      </c>
      <c r="F2" s="4" t="s">
        <v>67</v>
      </c>
      <c r="G2" s="4" t="s">
        <v>652</v>
      </c>
      <c r="H2" s="4" t="s">
        <v>653</v>
      </c>
      <c r="I2" s="4" t="s">
        <v>654</v>
      </c>
      <c r="J2" s="4" t="s">
        <v>655</v>
      </c>
      <c r="K2" s="4" t="s">
        <v>579</v>
      </c>
      <c r="L2" s="12" t="s">
        <v>580</v>
      </c>
    </row>
    <row r="3" spans="1:12" ht="15" customHeight="1">
      <c r="A3" s="11" t="s">
        <v>581</v>
      </c>
      <c r="B3" s="6" t="s">
        <v>6</v>
      </c>
      <c r="C3" s="4" t="s">
        <v>9</v>
      </c>
      <c r="D3" s="4" t="s">
        <v>582</v>
      </c>
      <c r="E3" s="4" t="s">
        <v>575</v>
      </c>
      <c r="F3" s="4" t="s">
        <v>38</v>
      </c>
      <c r="G3" s="4" t="s">
        <v>39</v>
      </c>
      <c r="H3" s="4" t="s">
        <v>583</v>
      </c>
      <c r="I3" s="4" t="s">
        <v>584</v>
      </c>
      <c r="J3" s="4" t="s">
        <v>585</v>
      </c>
      <c r="K3" s="4" t="s">
        <v>579</v>
      </c>
      <c r="L3" s="12" t="s">
        <v>580</v>
      </c>
    </row>
    <row r="4" spans="1:12" ht="15" customHeight="1">
      <c r="A4" s="11" t="s">
        <v>401</v>
      </c>
      <c r="B4" s="5" t="s">
        <v>771</v>
      </c>
      <c r="C4" s="4" t="s">
        <v>11</v>
      </c>
      <c r="D4" s="4" t="s">
        <v>402</v>
      </c>
      <c r="E4" s="4" t="s">
        <v>370</v>
      </c>
      <c r="F4" s="4" t="s">
        <v>301</v>
      </c>
      <c r="G4" s="4" t="s">
        <v>339</v>
      </c>
      <c r="H4" s="4" t="s">
        <v>403</v>
      </c>
      <c r="I4" s="4" t="s">
        <v>373</v>
      </c>
      <c r="J4" s="4" t="s">
        <v>404</v>
      </c>
      <c r="K4" s="4" t="s">
        <v>405</v>
      </c>
      <c r="L4" s="12" t="s">
        <v>406</v>
      </c>
    </row>
    <row r="5" spans="1:12" ht="15" customHeight="1">
      <c r="A5" s="11" t="s">
        <v>475</v>
      </c>
      <c r="B5" s="5" t="s">
        <v>771</v>
      </c>
      <c r="C5" s="4" t="s">
        <v>11</v>
      </c>
      <c r="D5" s="4" t="s">
        <v>477</v>
      </c>
      <c r="E5" s="4" t="s">
        <v>476</v>
      </c>
      <c r="F5" s="4" t="s">
        <v>38</v>
      </c>
      <c r="G5" s="4" t="s">
        <v>39</v>
      </c>
      <c r="H5" s="4" t="s">
        <v>478</v>
      </c>
      <c r="I5" s="4" t="s">
        <v>479</v>
      </c>
      <c r="J5" s="4" t="s">
        <v>480</v>
      </c>
      <c r="K5" s="4" t="s">
        <v>481</v>
      </c>
      <c r="L5" s="12" t="s">
        <v>482</v>
      </c>
    </row>
    <row r="6" spans="1:12" ht="15" customHeight="1">
      <c r="A6" s="11" t="s">
        <v>413</v>
      </c>
      <c r="B6" s="5" t="s">
        <v>771</v>
      </c>
      <c r="C6" s="4" t="s">
        <v>11</v>
      </c>
      <c r="D6" s="4" t="s">
        <v>415</v>
      </c>
      <c r="E6" s="4" t="s">
        <v>370</v>
      </c>
      <c r="F6" s="4" t="s">
        <v>301</v>
      </c>
      <c r="G6" s="4" t="s">
        <v>414</v>
      </c>
      <c r="H6" s="4" t="s">
        <v>416</v>
      </c>
      <c r="I6" s="4" t="s">
        <v>373</v>
      </c>
      <c r="J6" s="4" t="s">
        <v>417</v>
      </c>
      <c r="K6" s="4" t="s">
        <v>418</v>
      </c>
      <c r="L6" s="12" t="s">
        <v>419</v>
      </c>
    </row>
    <row r="7" spans="1:12" ht="15" customHeight="1">
      <c r="A7" s="11" t="s">
        <v>65</v>
      </c>
      <c r="B7" s="5" t="s">
        <v>771</v>
      </c>
      <c r="C7" s="4" t="s">
        <v>9</v>
      </c>
      <c r="D7" s="4" t="s">
        <v>69</v>
      </c>
      <c r="E7" s="4" t="s">
        <v>66</v>
      </c>
      <c r="F7" s="4" t="s">
        <v>67</v>
      </c>
      <c r="G7" s="4" t="s">
        <v>68</v>
      </c>
      <c r="H7" s="4" t="s">
        <v>70</v>
      </c>
      <c r="I7" s="4" t="s">
        <v>71</v>
      </c>
      <c r="J7" s="4" t="s">
        <v>72</v>
      </c>
      <c r="K7" s="4" t="s">
        <v>73</v>
      </c>
      <c r="L7" s="12" t="s">
        <v>74</v>
      </c>
    </row>
    <row r="8" spans="1:12" ht="15" customHeight="1">
      <c r="A8" s="11" t="s">
        <v>780</v>
      </c>
      <c r="B8" s="5" t="s">
        <v>771</v>
      </c>
      <c r="C8" s="4" t="s">
        <v>11</v>
      </c>
      <c r="D8" t="s">
        <v>781</v>
      </c>
      <c r="E8" s="4" t="s">
        <v>575</v>
      </c>
      <c r="F8" s="4" t="s">
        <v>38</v>
      </c>
      <c r="G8" s="4" t="s">
        <v>39</v>
      </c>
      <c r="H8" t="s">
        <v>783</v>
      </c>
      <c r="I8" t="s">
        <v>782</v>
      </c>
      <c r="J8" t="s">
        <v>784</v>
      </c>
      <c r="K8" s="4" t="s">
        <v>785</v>
      </c>
      <c r="L8" t="s">
        <v>561</v>
      </c>
    </row>
    <row r="9" spans="1:12" ht="15" customHeight="1">
      <c r="A9" s="11" t="s">
        <v>461</v>
      </c>
      <c r="B9" s="5" t="s">
        <v>771</v>
      </c>
      <c r="C9" s="4" t="s">
        <v>11</v>
      </c>
      <c r="D9" s="4" t="s">
        <v>463</v>
      </c>
      <c r="E9" s="4" t="s">
        <v>370</v>
      </c>
      <c r="F9" s="4" t="s">
        <v>301</v>
      </c>
      <c r="G9" s="4" t="s">
        <v>462</v>
      </c>
      <c r="H9" s="4" t="s">
        <v>464</v>
      </c>
      <c r="I9" s="4" t="s">
        <v>373</v>
      </c>
      <c r="J9" s="4" t="s">
        <v>465</v>
      </c>
      <c r="K9" s="4" t="s">
        <v>466</v>
      </c>
      <c r="L9" s="12" t="s">
        <v>467</v>
      </c>
    </row>
    <row r="10" spans="1:12" ht="15" customHeight="1">
      <c r="A10" s="11" t="s">
        <v>750</v>
      </c>
      <c r="B10" s="6" t="s">
        <v>6</v>
      </c>
      <c r="C10" s="4" t="s">
        <v>11</v>
      </c>
      <c r="D10" s="4" t="s">
        <v>751</v>
      </c>
      <c r="E10" s="4" t="s">
        <v>725</v>
      </c>
      <c r="F10" s="4" t="s">
        <v>38</v>
      </c>
      <c r="G10" s="4" t="s">
        <v>39</v>
      </c>
      <c r="H10" s="4" t="s">
        <v>752</v>
      </c>
      <c r="I10" s="4" t="s">
        <v>753</v>
      </c>
      <c r="J10" s="4" t="s">
        <v>754</v>
      </c>
      <c r="K10" s="4" t="s">
        <v>722</v>
      </c>
      <c r="L10" s="12" t="s">
        <v>580</v>
      </c>
    </row>
    <row r="11" spans="1:12" ht="15" customHeight="1">
      <c r="A11" s="11" t="s">
        <v>167</v>
      </c>
      <c r="B11" s="5" t="s">
        <v>771</v>
      </c>
      <c r="C11" s="4" t="s">
        <v>10</v>
      </c>
      <c r="D11" s="4" t="s">
        <v>168</v>
      </c>
      <c r="E11" s="4" t="s">
        <v>116</v>
      </c>
      <c r="F11" s="4" t="s">
        <v>38</v>
      </c>
      <c r="G11" s="4" t="s">
        <v>39</v>
      </c>
      <c r="H11" s="4" t="s">
        <v>169</v>
      </c>
      <c r="I11" s="4" t="s">
        <v>170</v>
      </c>
      <c r="J11" s="4" t="s">
        <v>171</v>
      </c>
      <c r="K11" s="4" t="s">
        <v>172</v>
      </c>
      <c r="L11" s="12" t="s">
        <v>123</v>
      </c>
    </row>
    <row r="12" spans="1:12" ht="15" customHeight="1">
      <c r="A12" s="11" t="s">
        <v>369</v>
      </c>
      <c r="B12" s="5" t="s">
        <v>771</v>
      </c>
      <c r="C12" s="4" t="s">
        <v>11</v>
      </c>
      <c r="D12" s="4" t="s">
        <v>371</v>
      </c>
      <c r="E12" s="4" t="s">
        <v>370</v>
      </c>
      <c r="F12" s="4" t="s">
        <v>301</v>
      </c>
      <c r="G12" s="4" t="s">
        <v>302</v>
      </c>
      <c r="H12" s="4" t="s">
        <v>372</v>
      </c>
      <c r="I12" s="4" t="s">
        <v>373</v>
      </c>
      <c r="J12" s="4" t="s">
        <v>374</v>
      </c>
      <c r="K12" s="4" t="s">
        <v>375</v>
      </c>
      <c r="L12" s="12" t="s">
        <v>376</v>
      </c>
    </row>
    <row r="13" spans="1:12" ht="15" customHeight="1">
      <c r="A13" s="11" t="s">
        <v>253</v>
      </c>
      <c r="B13" s="5" t="s">
        <v>771</v>
      </c>
      <c r="C13" s="4" t="s">
        <v>10</v>
      </c>
      <c r="D13" s="4" t="s">
        <v>255</v>
      </c>
      <c r="E13" s="4" t="s">
        <v>180</v>
      </c>
      <c r="F13" s="4" t="s">
        <v>67</v>
      </c>
      <c r="G13" s="4" t="s">
        <v>254</v>
      </c>
      <c r="H13" s="4" t="s">
        <v>256</v>
      </c>
      <c r="I13" s="4" t="s">
        <v>257</v>
      </c>
      <c r="J13" s="4" t="s">
        <v>258</v>
      </c>
      <c r="K13" s="4" t="s">
        <v>259</v>
      </c>
      <c r="L13" s="12" t="s">
        <v>260</v>
      </c>
    </row>
    <row r="14" spans="1:12" ht="15" customHeight="1">
      <c r="A14" s="11" t="s">
        <v>729</v>
      </c>
      <c r="B14" s="6" t="s">
        <v>6</v>
      </c>
      <c r="C14" s="4" t="s">
        <v>11</v>
      </c>
      <c r="D14" s="4" t="s">
        <v>730</v>
      </c>
      <c r="E14" s="4" t="s">
        <v>725</v>
      </c>
      <c r="F14" s="4" t="s">
        <v>67</v>
      </c>
      <c r="G14" s="4" t="s">
        <v>731</v>
      </c>
      <c r="H14" s="4" t="s">
        <v>732</v>
      </c>
      <c r="I14" s="4" t="s">
        <v>733</v>
      </c>
      <c r="J14" s="4" t="s">
        <v>734</v>
      </c>
      <c r="K14" s="4" t="s">
        <v>722</v>
      </c>
      <c r="L14" s="12" t="s">
        <v>580</v>
      </c>
    </row>
    <row r="15" spans="1:12" ht="15" customHeight="1">
      <c r="A15" s="11" t="s">
        <v>291</v>
      </c>
      <c r="B15" s="5" t="s">
        <v>771</v>
      </c>
      <c r="C15" s="4" t="s">
        <v>10</v>
      </c>
      <c r="D15" s="4" t="s">
        <v>293</v>
      </c>
      <c r="E15" s="4" t="s">
        <v>180</v>
      </c>
      <c r="F15" s="4" t="s">
        <v>67</v>
      </c>
      <c r="G15" s="4" t="s">
        <v>292</v>
      </c>
      <c r="H15" s="4" t="s">
        <v>294</v>
      </c>
      <c r="I15" s="4" t="s">
        <v>295</v>
      </c>
      <c r="J15" s="4" t="s">
        <v>296</v>
      </c>
      <c r="K15" s="4" t="s">
        <v>297</v>
      </c>
      <c r="L15" s="12" t="s">
        <v>298</v>
      </c>
    </row>
    <row r="16" spans="1:12" ht="15" customHeight="1">
      <c r="A16" s="11" t="s">
        <v>433</v>
      </c>
      <c r="B16" s="5" t="s">
        <v>771</v>
      </c>
      <c r="C16" s="4" t="s">
        <v>11</v>
      </c>
      <c r="D16" s="4" t="s">
        <v>435</v>
      </c>
      <c r="E16" s="4" t="s">
        <v>370</v>
      </c>
      <c r="F16" s="4" t="s">
        <v>301</v>
      </c>
      <c r="G16" s="4" t="s">
        <v>434</v>
      </c>
      <c r="H16" s="4" t="s">
        <v>436</v>
      </c>
      <c r="I16" s="4" t="s">
        <v>373</v>
      </c>
      <c r="J16" s="4" t="s">
        <v>437</v>
      </c>
      <c r="K16" s="4" t="s">
        <v>438</v>
      </c>
      <c r="L16" s="12" t="s">
        <v>439</v>
      </c>
    </row>
    <row r="17" spans="1:12" ht="15" customHeight="1">
      <c r="A17" s="11" t="s">
        <v>395</v>
      </c>
      <c r="B17" s="5" t="s">
        <v>771</v>
      </c>
      <c r="C17" s="4" t="s">
        <v>11</v>
      </c>
      <c r="D17" s="4" t="s">
        <v>396</v>
      </c>
      <c r="E17" s="4" t="s">
        <v>370</v>
      </c>
      <c r="F17" s="4" t="s">
        <v>301</v>
      </c>
      <c r="G17" s="4" t="s">
        <v>331</v>
      </c>
      <c r="H17" s="4" t="s">
        <v>397</v>
      </c>
      <c r="I17" s="4" t="s">
        <v>373</v>
      </c>
      <c r="J17" s="4" t="s">
        <v>398</v>
      </c>
      <c r="K17" s="4" t="s">
        <v>399</v>
      </c>
      <c r="L17" s="12" t="s">
        <v>400</v>
      </c>
    </row>
    <row r="18" spans="1:12" ht="15" customHeight="1">
      <c r="A18" s="11" t="s">
        <v>389</v>
      </c>
      <c r="B18" s="5" t="s">
        <v>771</v>
      </c>
      <c r="C18" s="4" t="s">
        <v>11</v>
      </c>
      <c r="D18" s="4" t="s">
        <v>390</v>
      </c>
      <c r="E18" s="4" t="s">
        <v>370</v>
      </c>
      <c r="F18" s="4" t="s">
        <v>301</v>
      </c>
      <c r="G18" s="4" t="s">
        <v>324</v>
      </c>
      <c r="H18" s="4" t="s">
        <v>391</v>
      </c>
      <c r="I18" s="4" t="s">
        <v>373</v>
      </c>
      <c r="J18" s="4" t="s">
        <v>392</v>
      </c>
      <c r="K18" s="4" t="s">
        <v>393</v>
      </c>
      <c r="L18" s="12" t="s">
        <v>394</v>
      </c>
    </row>
    <row r="19" spans="1:12" ht="15" customHeight="1">
      <c r="A19" s="11" t="s">
        <v>361</v>
      </c>
      <c r="B19" s="5" t="s">
        <v>771</v>
      </c>
      <c r="C19" s="4" t="s">
        <v>11</v>
      </c>
      <c r="D19" s="4" t="s">
        <v>363</v>
      </c>
      <c r="E19" s="4" t="s">
        <v>362</v>
      </c>
      <c r="F19" s="4" t="s">
        <v>38</v>
      </c>
      <c r="G19" s="4" t="s">
        <v>39</v>
      </c>
      <c r="H19" s="4" t="s">
        <v>364</v>
      </c>
      <c r="I19" s="4" t="s">
        <v>365</v>
      </c>
      <c r="J19" s="4" t="s">
        <v>366</v>
      </c>
      <c r="K19" s="4" t="s">
        <v>367</v>
      </c>
      <c r="L19" s="12" t="s">
        <v>368</v>
      </c>
    </row>
    <row r="20" spans="1:12" ht="15" customHeight="1">
      <c r="A20" s="11" t="s">
        <v>130</v>
      </c>
      <c r="B20" s="5" t="s">
        <v>771</v>
      </c>
      <c r="C20" s="4" t="s">
        <v>10</v>
      </c>
      <c r="D20" s="4" t="s">
        <v>131</v>
      </c>
      <c r="E20" s="4" t="s">
        <v>116</v>
      </c>
      <c r="F20" s="4" t="s">
        <v>38</v>
      </c>
      <c r="G20" s="4" t="s">
        <v>39</v>
      </c>
      <c r="H20" s="4" t="s">
        <v>132</v>
      </c>
      <c r="I20" s="4" t="s">
        <v>133</v>
      </c>
      <c r="J20" s="4" t="s">
        <v>134</v>
      </c>
      <c r="K20" s="4" t="s">
        <v>135</v>
      </c>
      <c r="L20" s="12" t="s">
        <v>123</v>
      </c>
    </row>
    <row r="21" spans="1:12" ht="15" customHeight="1">
      <c r="A21" t="s">
        <v>793</v>
      </c>
      <c r="B21" s="5" t="s">
        <v>771</v>
      </c>
      <c r="C21" s="4" t="s">
        <v>11</v>
      </c>
      <c r="D21" t="s">
        <v>794</v>
      </c>
      <c r="E21" s="4" t="s">
        <v>476</v>
      </c>
      <c r="F21" s="4" t="s">
        <v>38</v>
      </c>
      <c r="G21" s="4" t="s">
        <v>39</v>
      </c>
      <c r="H21" t="s">
        <v>795</v>
      </c>
      <c r="I21" t="s">
        <v>796</v>
      </c>
      <c r="J21" t="s">
        <v>797</v>
      </c>
      <c r="K21" t="s">
        <v>798</v>
      </c>
      <c r="L21" t="s">
        <v>799</v>
      </c>
    </row>
    <row r="22" spans="1:12" ht="15" customHeight="1">
      <c r="A22" s="11" t="s">
        <v>261</v>
      </c>
      <c r="B22" s="5" t="s">
        <v>771</v>
      </c>
      <c r="C22" s="4" t="s">
        <v>10</v>
      </c>
      <c r="D22" s="4" t="s">
        <v>263</v>
      </c>
      <c r="E22" s="4" t="s">
        <v>180</v>
      </c>
      <c r="F22" s="4" t="s">
        <v>67</v>
      </c>
      <c r="G22" s="4" t="s">
        <v>262</v>
      </c>
      <c r="H22" s="4" t="s">
        <v>264</v>
      </c>
      <c r="I22" s="4" t="s">
        <v>265</v>
      </c>
      <c r="J22" s="4" t="s">
        <v>266</v>
      </c>
      <c r="K22" s="4" t="s">
        <v>267</v>
      </c>
      <c r="L22" s="12" t="s">
        <v>268</v>
      </c>
    </row>
    <row r="23" spans="1:12" ht="15" customHeight="1">
      <c r="A23" s="11" t="s">
        <v>723</v>
      </c>
      <c r="B23" s="6" t="s">
        <v>6</v>
      </c>
      <c r="C23" s="4" t="s">
        <v>11</v>
      </c>
      <c r="D23" s="4" t="s">
        <v>724</v>
      </c>
      <c r="E23" s="4" t="s">
        <v>725</v>
      </c>
      <c r="F23" s="4" t="s">
        <v>38</v>
      </c>
      <c r="G23" s="4" t="s">
        <v>39</v>
      </c>
      <c r="H23" s="4" t="s">
        <v>726</v>
      </c>
      <c r="I23" s="4" t="s">
        <v>727</v>
      </c>
      <c r="J23" s="4" t="s">
        <v>728</v>
      </c>
      <c r="K23" s="4" t="s">
        <v>722</v>
      </c>
      <c r="L23" s="12" t="s">
        <v>580</v>
      </c>
    </row>
    <row r="24" spans="1:12" ht="15" customHeight="1">
      <c r="A24" s="11" t="s">
        <v>277</v>
      </c>
      <c r="B24" s="5" t="s">
        <v>771</v>
      </c>
      <c r="C24" s="4" t="s">
        <v>10</v>
      </c>
      <c r="D24" s="4" t="s">
        <v>279</v>
      </c>
      <c r="E24" s="4" t="s">
        <v>180</v>
      </c>
      <c r="F24" s="4" t="s">
        <v>67</v>
      </c>
      <c r="G24" s="4" t="s">
        <v>278</v>
      </c>
      <c r="H24" s="4" t="s">
        <v>280</v>
      </c>
      <c r="I24" s="4" t="s">
        <v>281</v>
      </c>
      <c r="J24" s="4" t="s">
        <v>282</v>
      </c>
      <c r="K24" s="4" t="s">
        <v>283</v>
      </c>
      <c r="L24" s="12" t="s">
        <v>284</v>
      </c>
    </row>
    <row r="25" spans="1:12" ht="15" customHeight="1">
      <c r="A25" s="11" t="s">
        <v>454</v>
      </c>
      <c r="B25" s="5" t="s">
        <v>771</v>
      </c>
      <c r="C25" s="4" t="s">
        <v>11</v>
      </c>
      <c r="D25" s="4" t="s">
        <v>456</v>
      </c>
      <c r="E25" s="4" t="s">
        <v>370</v>
      </c>
      <c r="F25" s="4" t="s">
        <v>301</v>
      </c>
      <c r="G25" s="4" t="s">
        <v>455</v>
      </c>
      <c r="H25" s="4" t="s">
        <v>457</v>
      </c>
      <c r="I25" s="4" t="s">
        <v>373</v>
      </c>
      <c r="J25" s="4" t="s">
        <v>458</v>
      </c>
      <c r="K25" s="4" t="s">
        <v>459</v>
      </c>
      <c r="L25" s="12" t="s">
        <v>460</v>
      </c>
    </row>
    <row r="26" spans="1:12" ht="15" customHeight="1">
      <c r="A26" s="11" t="s">
        <v>53</v>
      </c>
      <c r="B26" s="5" t="s">
        <v>771</v>
      </c>
      <c r="C26" s="4" t="s">
        <v>9</v>
      </c>
      <c r="D26" s="4" t="s">
        <v>54</v>
      </c>
      <c r="E26" s="4" t="s">
        <v>37</v>
      </c>
      <c r="F26" s="4" t="s">
        <v>38</v>
      </c>
      <c r="G26" s="4" t="s">
        <v>39</v>
      </c>
      <c r="H26" s="4" t="s">
        <v>55</v>
      </c>
      <c r="I26" s="4" t="s">
        <v>56</v>
      </c>
      <c r="J26" s="4" t="s">
        <v>57</v>
      </c>
      <c r="K26" s="4" t="s">
        <v>58</v>
      </c>
      <c r="L26" s="12" t="s">
        <v>46</v>
      </c>
    </row>
    <row r="27" spans="1:12" ht="15" customHeight="1">
      <c r="A27" s="11" t="s">
        <v>447</v>
      </c>
      <c r="B27" s="5" t="s">
        <v>771</v>
      </c>
      <c r="C27" s="4" t="s">
        <v>11</v>
      </c>
      <c r="D27" s="4" t="s">
        <v>449</v>
      </c>
      <c r="E27" s="4" t="s">
        <v>370</v>
      </c>
      <c r="F27" s="4" t="s">
        <v>301</v>
      </c>
      <c r="G27" s="4" t="s">
        <v>448</v>
      </c>
      <c r="H27" s="4" t="s">
        <v>450</v>
      </c>
      <c r="I27" s="4" t="s">
        <v>373</v>
      </c>
      <c r="J27" s="4" t="s">
        <v>451</v>
      </c>
      <c r="K27" s="4" t="s">
        <v>452</v>
      </c>
      <c r="L27" s="12" t="s">
        <v>453</v>
      </c>
    </row>
    <row r="28" spans="1:12" ht="15" customHeight="1">
      <c r="A28" s="11" t="s">
        <v>640</v>
      </c>
      <c r="B28" s="6" t="s">
        <v>6</v>
      </c>
      <c r="C28" s="4" t="s">
        <v>9</v>
      </c>
      <c r="D28" s="4" t="s">
        <v>641</v>
      </c>
      <c r="E28" s="4" t="s">
        <v>631</v>
      </c>
      <c r="F28" s="4" t="s">
        <v>38</v>
      </c>
      <c r="G28" s="4" t="s">
        <v>39</v>
      </c>
      <c r="H28" s="4" t="s">
        <v>642</v>
      </c>
      <c r="I28" s="4" t="s">
        <v>643</v>
      </c>
      <c r="J28" s="4" t="s">
        <v>644</v>
      </c>
      <c r="K28" s="4" t="s">
        <v>579</v>
      </c>
      <c r="L28" s="12" t="s">
        <v>580</v>
      </c>
    </row>
    <row r="29" spans="1:12" ht="15" customHeight="1">
      <c r="A29" s="11" t="s">
        <v>75</v>
      </c>
      <c r="B29" s="5" t="s">
        <v>771</v>
      </c>
      <c r="C29" s="4" t="s">
        <v>9</v>
      </c>
      <c r="D29" s="4" t="s">
        <v>77</v>
      </c>
      <c r="E29" s="4" t="s">
        <v>66</v>
      </c>
      <c r="F29" s="4" t="s">
        <v>67</v>
      </c>
      <c r="G29" s="4" t="s">
        <v>76</v>
      </c>
      <c r="H29" s="4" t="s">
        <v>78</v>
      </c>
      <c r="I29" s="4" t="s">
        <v>79</v>
      </c>
      <c r="J29" s="4" t="s">
        <v>80</v>
      </c>
      <c r="K29" s="4" t="s">
        <v>81</v>
      </c>
      <c r="L29" s="12" t="s">
        <v>82</v>
      </c>
    </row>
    <row r="30" spans="1:12" ht="15" customHeight="1">
      <c r="A30" s="11" t="s">
        <v>700</v>
      </c>
      <c r="B30" s="6" t="s">
        <v>6</v>
      </c>
      <c r="C30" s="4" t="s">
        <v>10</v>
      </c>
      <c r="D30" s="4" t="s">
        <v>701</v>
      </c>
      <c r="E30" s="4" t="s">
        <v>684</v>
      </c>
      <c r="F30" s="4" t="s">
        <v>67</v>
      </c>
      <c r="G30" s="4" t="s">
        <v>702</v>
      </c>
      <c r="H30" s="4" t="s">
        <v>703</v>
      </c>
      <c r="I30" s="4" t="s">
        <v>704</v>
      </c>
      <c r="J30" s="4" t="s">
        <v>705</v>
      </c>
      <c r="K30" s="4" t="s">
        <v>688</v>
      </c>
      <c r="L30" s="12" t="s">
        <v>580</v>
      </c>
    </row>
    <row r="31" spans="1:12" ht="15" customHeight="1">
      <c r="A31" s="11" t="s">
        <v>745</v>
      </c>
      <c r="B31" s="6" t="s">
        <v>6</v>
      </c>
      <c r="C31" s="4" t="s">
        <v>11</v>
      </c>
      <c r="D31" s="4" t="s">
        <v>746</v>
      </c>
      <c r="E31" s="4" t="s">
        <v>725</v>
      </c>
      <c r="F31" s="4" t="s">
        <v>38</v>
      </c>
      <c r="G31" s="4" t="s">
        <v>39</v>
      </c>
      <c r="H31" s="4" t="s">
        <v>747</v>
      </c>
      <c r="I31" s="4" t="s">
        <v>748</v>
      </c>
      <c r="J31" s="4" t="s">
        <v>749</v>
      </c>
      <c r="K31" s="4" t="s">
        <v>722</v>
      </c>
      <c r="L31" s="12" t="s">
        <v>580</v>
      </c>
    </row>
    <row r="32" spans="1:12" ht="15" customHeight="1">
      <c r="A32" s="11" t="s">
        <v>231</v>
      </c>
      <c r="B32" s="5" t="s">
        <v>771</v>
      </c>
      <c r="C32" s="4" t="s">
        <v>10</v>
      </c>
      <c r="D32" s="4" t="s">
        <v>233</v>
      </c>
      <c r="E32" s="4" t="s">
        <v>180</v>
      </c>
      <c r="F32" s="4" t="s">
        <v>67</v>
      </c>
      <c r="G32" s="4" t="s">
        <v>232</v>
      </c>
      <c r="H32" s="4" t="s">
        <v>234</v>
      </c>
      <c r="I32" s="4" t="s">
        <v>235</v>
      </c>
      <c r="J32" s="4" t="s">
        <v>236</v>
      </c>
      <c r="K32" s="4" t="s">
        <v>237</v>
      </c>
      <c r="L32" s="12" t="s">
        <v>238</v>
      </c>
    </row>
    <row r="33" spans="1:12" ht="15" customHeight="1">
      <c r="A33" s="11" t="s">
        <v>667</v>
      </c>
      <c r="B33" s="6" t="s">
        <v>6</v>
      </c>
      <c r="C33" s="4" t="s">
        <v>9</v>
      </c>
      <c r="D33" s="4" t="s">
        <v>668</v>
      </c>
      <c r="E33" s="4" t="s">
        <v>631</v>
      </c>
      <c r="F33" s="4" t="s">
        <v>38</v>
      </c>
      <c r="G33" s="4" t="s">
        <v>39</v>
      </c>
      <c r="H33" s="4" t="s">
        <v>669</v>
      </c>
      <c r="I33" s="4" t="s">
        <v>670</v>
      </c>
      <c r="J33" s="4" t="s">
        <v>671</v>
      </c>
      <c r="K33" s="4" t="s">
        <v>579</v>
      </c>
      <c r="L33" s="12" t="s">
        <v>580</v>
      </c>
    </row>
    <row r="34" spans="1:12" ht="15" customHeight="1">
      <c r="A34" s="11" t="s">
        <v>83</v>
      </c>
      <c r="B34" s="5" t="s">
        <v>771</v>
      </c>
      <c r="C34" s="4" t="s">
        <v>9</v>
      </c>
      <c r="D34" s="4" t="s">
        <v>85</v>
      </c>
      <c r="E34" s="4" t="s">
        <v>66</v>
      </c>
      <c r="F34" s="4" t="s">
        <v>67</v>
      </c>
      <c r="G34" s="4" t="s">
        <v>84</v>
      </c>
      <c r="H34" s="4" t="s">
        <v>86</v>
      </c>
      <c r="I34" s="4" t="s">
        <v>87</v>
      </c>
      <c r="J34" s="4" t="s">
        <v>88</v>
      </c>
      <c r="K34" s="4" t="s">
        <v>89</v>
      </c>
      <c r="L34" s="12" t="s">
        <v>90</v>
      </c>
    </row>
    <row r="35" spans="1:12" ht="15" customHeight="1">
      <c r="A35" s="11" t="s">
        <v>115</v>
      </c>
      <c r="B35" s="5" t="s">
        <v>771</v>
      </c>
      <c r="C35" s="4" t="s">
        <v>10</v>
      </c>
      <c r="D35" s="4" t="s">
        <v>117</v>
      </c>
      <c r="E35" s="4" t="s">
        <v>116</v>
      </c>
      <c r="F35" s="4" t="s">
        <v>38</v>
      </c>
      <c r="G35" s="4" t="s">
        <v>39</v>
      </c>
      <c r="H35" s="4" t="s">
        <v>118</v>
      </c>
      <c r="I35" s="4" t="s">
        <v>119</v>
      </c>
      <c r="J35" s="4" t="s">
        <v>120</v>
      </c>
      <c r="K35" s="4" t="s">
        <v>121</v>
      </c>
      <c r="L35" s="12" t="s">
        <v>123</v>
      </c>
    </row>
    <row r="36" spans="1:12" ht="15" customHeight="1">
      <c r="A36" s="11" t="s">
        <v>99</v>
      </c>
      <c r="B36" s="5" t="s">
        <v>771</v>
      </c>
      <c r="C36" s="4" t="s">
        <v>9</v>
      </c>
      <c r="D36" s="4" t="s">
        <v>101</v>
      </c>
      <c r="E36" s="4" t="s">
        <v>66</v>
      </c>
      <c r="F36" s="4" t="s">
        <v>67</v>
      </c>
      <c r="G36" s="4" t="s">
        <v>100</v>
      </c>
      <c r="H36" s="4" t="s">
        <v>102</v>
      </c>
      <c r="I36" s="4" t="s">
        <v>103</v>
      </c>
      <c r="J36" s="4" t="s">
        <v>104</v>
      </c>
      <c r="K36" s="4" t="s">
        <v>81</v>
      </c>
      <c r="L36" s="12" t="s">
        <v>105</v>
      </c>
    </row>
    <row r="37" spans="1:12" ht="15" customHeight="1">
      <c r="A37" s="11" t="s">
        <v>677</v>
      </c>
      <c r="B37" s="6" t="s">
        <v>6</v>
      </c>
      <c r="C37" s="4" t="s">
        <v>9</v>
      </c>
      <c r="D37" s="4" t="s">
        <v>678</v>
      </c>
      <c r="E37" s="4" t="s">
        <v>631</v>
      </c>
      <c r="F37" s="4" t="s">
        <v>67</v>
      </c>
      <c r="G37" s="4" t="s">
        <v>346</v>
      </c>
      <c r="H37" s="4" t="s">
        <v>679</v>
      </c>
      <c r="I37" s="4" t="s">
        <v>680</v>
      </c>
      <c r="J37" s="4" t="s">
        <v>681</v>
      </c>
      <c r="K37" s="4" t="s">
        <v>579</v>
      </c>
      <c r="L37" s="12" t="s">
        <v>580</v>
      </c>
    </row>
    <row r="38" spans="1:12" ht="15" customHeight="1">
      <c r="A38" s="11" t="s">
        <v>689</v>
      </c>
      <c r="B38" s="6" t="s">
        <v>6</v>
      </c>
      <c r="C38" s="4" t="s">
        <v>10</v>
      </c>
      <c r="D38" s="4" t="s">
        <v>690</v>
      </c>
      <c r="E38" s="4" t="s">
        <v>684</v>
      </c>
      <c r="F38" s="4" t="s">
        <v>67</v>
      </c>
      <c r="G38" s="4" t="s">
        <v>691</v>
      </c>
      <c r="H38" s="4" t="s">
        <v>692</v>
      </c>
      <c r="I38" s="4" t="s">
        <v>693</v>
      </c>
      <c r="J38" s="4" t="s">
        <v>694</v>
      </c>
      <c r="K38" s="4" t="s">
        <v>688</v>
      </c>
      <c r="L38" s="12" t="s">
        <v>580</v>
      </c>
    </row>
    <row r="39" spans="1:12" ht="15" customHeight="1">
      <c r="A39" s="11" t="s">
        <v>618</v>
      </c>
      <c r="B39" s="6" t="s">
        <v>6</v>
      </c>
      <c r="C39" s="4" t="s">
        <v>9</v>
      </c>
      <c r="D39" s="4" t="s">
        <v>619</v>
      </c>
      <c r="E39" s="4" t="s">
        <v>614</v>
      </c>
      <c r="F39" s="4" t="s">
        <v>38</v>
      </c>
      <c r="G39" s="4" t="s">
        <v>39</v>
      </c>
      <c r="H39" s="4" t="s">
        <v>620</v>
      </c>
      <c r="I39" s="4" t="s">
        <v>621</v>
      </c>
      <c r="J39" s="4" t="s">
        <v>622</v>
      </c>
      <c r="K39" s="4" t="s">
        <v>579</v>
      </c>
      <c r="L39" s="12" t="s">
        <v>580</v>
      </c>
    </row>
    <row r="40" spans="1:12" ht="15" customHeight="1">
      <c r="A40" s="11" t="s">
        <v>353</v>
      </c>
      <c r="B40" s="5" t="s">
        <v>771</v>
      </c>
      <c r="C40" s="4" t="s">
        <v>10</v>
      </c>
      <c r="D40" s="4" t="s">
        <v>355</v>
      </c>
      <c r="E40" s="4" t="s">
        <v>300</v>
      </c>
      <c r="F40" s="4" t="s">
        <v>301</v>
      </c>
      <c r="G40" s="4" t="s">
        <v>354</v>
      </c>
      <c r="H40" s="4" t="s">
        <v>356</v>
      </c>
      <c r="I40" s="4" t="s">
        <v>357</v>
      </c>
      <c r="J40" s="4" t="s">
        <v>358</v>
      </c>
      <c r="K40" s="4" t="s">
        <v>359</v>
      </c>
      <c r="L40" s="12" t="s">
        <v>360</v>
      </c>
    </row>
    <row r="41" spans="1:12" ht="15" customHeight="1">
      <c r="A41" s="11" t="s">
        <v>225</v>
      </c>
      <c r="B41" s="5" t="s">
        <v>771</v>
      </c>
      <c r="C41" s="4" t="s">
        <v>10</v>
      </c>
      <c r="D41" s="4" t="s">
        <v>226</v>
      </c>
      <c r="E41" s="4" t="s">
        <v>180</v>
      </c>
      <c r="F41" s="4" t="s">
        <v>67</v>
      </c>
      <c r="G41" s="4" t="s">
        <v>100</v>
      </c>
      <c r="H41" s="4" t="s">
        <v>227</v>
      </c>
      <c r="I41" s="4" t="s">
        <v>192</v>
      </c>
      <c r="J41" s="4" t="s">
        <v>228</v>
      </c>
      <c r="K41" s="4" t="s">
        <v>229</v>
      </c>
      <c r="L41" s="12" t="s">
        <v>230</v>
      </c>
    </row>
    <row r="42" spans="1:12" ht="15" customHeight="1">
      <c r="A42" s="11" t="s">
        <v>706</v>
      </c>
      <c r="B42" s="6" t="s">
        <v>6</v>
      </c>
      <c r="C42" s="4" t="s">
        <v>10</v>
      </c>
      <c r="D42" s="4" t="s">
        <v>707</v>
      </c>
      <c r="E42" s="4" t="s">
        <v>684</v>
      </c>
      <c r="F42" s="4" t="s">
        <v>67</v>
      </c>
      <c r="G42" s="4" t="s">
        <v>708</v>
      </c>
      <c r="H42" s="4" t="s">
        <v>709</v>
      </c>
      <c r="I42" s="4" t="s">
        <v>710</v>
      </c>
      <c r="J42" s="4" t="s">
        <v>711</v>
      </c>
      <c r="K42" s="4" t="s">
        <v>688</v>
      </c>
      <c r="L42" s="12" t="s">
        <v>580</v>
      </c>
    </row>
    <row r="43" spans="1:12" ht="15" customHeight="1">
      <c r="A43" s="11" t="s">
        <v>656</v>
      </c>
      <c r="B43" s="6" t="s">
        <v>6</v>
      </c>
      <c r="C43" s="4" t="s">
        <v>9</v>
      </c>
      <c r="D43" s="4" t="s">
        <v>657</v>
      </c>
      <c r="E43" s="4" t="s">
        <v>631</v>
      </c>
      <c r="F43" s="4" t="s">
        <v>67</v>
      </c>
      <c r="G43" s="4" t="s">
        <v>76</v>
      </c>
      <c r="H43" s="4" t="s">
        <v>658</v>
      </c>
      <c r="I43" s="4" t="s">
        <v>659</v>
      </c>
      <c r="J43" s="4" t="s">
        <v>660</v>
      </c>
      <c r="K43" s="4" t="s">
        <v>579</v>
      </c>
      <c r="L43" s="12" t="s">
        <v>580</v>
      </c>
    </row>
    <row r="44" spans="1:12" ht="15" customHeight="1">
      <c r="A44" s="11" t="s">
        <v>316</v>
      </c>
      <c r="B44" s="5" t="s">
        <v>771</v>
      </c>
      <c r="C44" s="4" t="s">
        <v>10</v>
      </c>
      <c r="D44" s="4" t="s">
        <v>318</v>
      </c>
      <c r="E44" s="4" t="s">
        <v>300</v>
      </c>
      <c r="F44" s="4" t="s">
        <v>301</v>
      </c>
      <c r="G44" s="4" t="s">
        <v>317</v>
      </c>
      <c r="H44" s="4" t="s">
        <v>319</v>
      </c>
      <c r="I44" s="4" t="s">
        <v>200</v>
      </c>
      <c r="J44" s="4" t="s">
        <v>320</v>
      </c>
      <c r="K44" s="4" t="s">
        <v>321</v>
      </c>
      <c r="L44" s="12" t="s">
        <v>322</v>
      </c>
    </row>
    <row r="45" spans="1:12" ht="15" customHeight="1">
      <c r="A45" s="11" t="s">
        <v>735</v>
      </c>
      <c r="B45" s="6" t="s">
        <v>6</v>
      </c>
      <c r="C45" s="4" t="s">
        <v>11</v>
      </c>
      <c r="D45" s="4" t="s">
        <v>736</v>
      </c>
      <c r="E45" s="4" t="s">
        <v>725</v>
      </c>
      <c r="F45" s="4" t="s">
        <v>67</v>
      </c>
      <c r="G45" s="4" t="s">
        <v>731</v>
      </c>
      <c r="H45" s="4" t="s">
        <v>737</v>
      </c>
      <c r="I45" s="4" t="s">
        <v>738</v>
      </c>
      <c r="J45" s="4" t="s">
        <v>739</v>
      </c>
      <c r="K45" s="4" t="s">
        <v>722</v>
      </c>
      <c r="L45" s="12" t="s">
        <v>580</v>
      </c>
    </row>
    <row r="46" spans="1:12" ht="15" customHeight="1">
      <c r="A46" s="11" t="s">
        <v>345</v>
      </c>
      <c r="B46" s="5" t="s">
        <v>771</v>
      </c>
      <c r="C46" s="4" t="s">
        <v>10</v>
      </c>
      <c r="D46" s="4" t="s">
        <v>347</v>
      </c>
      <c r="E46" s="4" t="s">
        <v>300</v>
      </c>
      <c r="F46" s="4" t="s">
        <v>301</v>
      </c>
      <c r="G46" s="4" t="s">
        <v>346</v>
      </c>
      <c r="H46" s="4" t="s">
        <v>348</v>
      </c>
      <c r="I46" s="4" t="s">
        <v>349</v>
      </c>
      <c r="J46" s="4" t="s">
        <v>350</v>
      </c>
      <c r="K46" s="4" t="s">
        <v>351</v>
      </c>
      <c r="L46" s="12" t="s">
        <v>352</v>
      </c>
    </row>
    <row r="47" spans="1:12" ht="15" customHeight="1">
      <c r="A47" s="11" t="s">
        <v>586</v>
      </c>
      <c r="B47" s="6" t="s">
        <v>6</v>
      </c>
      <c r="C47" s="4" t="s">
        <v>9</v>
      </c>
      <c r="D47" s="4" t="s">
        <v>587</v>
      </c>
      <c r="E47" s="4" t="s">
        <v>575</v>
      </c>
      <c r="F47" s="4" t="s">
        <v>38</v>
      </c>
      <c r="G47" s="4" t="s">
        <v>39</v>
      </c>
      <c r="H47" s="4" t="s">
        <v>588</v>
      </c>
      <c r="I47" s="4" t="s">
        <v>589</v>
      </c>
      <c r="J47" s="4" t="s">
        <v>590</v>
      </c>
      <c r="K47" s="4" t="s">
        <v>579</v>
      </c>
      <c r="L47" s="12" t="s">
        <v>580</v>
      </c>
    </row>
    <row r="48" spans="1:12" ht="15" customHeight="1">
      <c r="A48" s="11" t="s">
        <v>645</v>
      </c>
      <c r="B48" s="6" t="s">
        <v>6</v>
      </c>
      <c r="C48" s="4" t="s">
        <v>9</v>
      </c>
      <c r="D48" s="4" t="s">
        <v>646</v>
      </c>
      <c r="E48" s="4" t="s">
        <v>631</v>
      </c>
      <c r="F48" s="4" t="s">
        <v>38</v>
      </c>
      <c r="G48" s="4" t="s">
        <v>39</v>
      </c>
      <c r="H48" s="4" t="s">
        <v>647</v>
      </c>
      <c r="I48" s="4" t="s">
        <v>648</v>
      </c>
      <c r="J48" s="4" t="s">
        <v>649</v>
      </c>
      <c r="K48" s="4" t="s">
        <v>579</v>
      </c>
      <c r="L48" s="12" t="s">
        <v>580</v>
      </c>
    </row>
    <row r="49" spans="1:12" ht="15" customHeight="1">
      <c r="A49" s="11" t="s">
        <v>142</v>
      </c>
      <c r="B49" s="5" t="s">
        <v>771</v>
      </c>
      <c r="C49" s="4" t="s">
        <v>10</v>
      </c>
      <c r="D49" s="4" t="s">
        <v>143</v>
      </c>
      <c r="E49" s="4" t="s">
        <v>116</v>
      </c>
      <c r="F49" s="4" t="s">
        <v>38</v>
      </c>
      <c r="G49" s="4" t="s">
        <v>39</v>
      </c>
      <c r="H49" s="4" t="s">
        <v>144</v>
      </c>
      <c r="I49" s="4" t="s">
        <v>145</v>
      </c>
      <c r="J49" s="4" t="s">
        <v>146</v>
      </c>
      <c r="K49" s="4" t="s">
        <v>147</v>
      </c>
      <c r="L49" s="12" t="s">
        <v>123</v>
      </c>
    </row>
    <row r="50" spans="1:12" ht="15" customHeight="1">
      <c r="A50" s="11" t="s">
        <v>623</v>
      </c>
      <c r="B50" s="6" t="s">
        <v>6</v>
      </c>
      <c r="C50" s="4" t="s">
        <v>9</v>
      </c>
      <c r="D50" s="4" t="s">
        <v>624</v>
      </c>
      <c r="E50" s="4" t="s">
        <v>625</v>
      </c>
      <c r="F50" s="4" t="s">
        <v>38</v>
      </c>
      <c r="G50" s="4" t="s">
        <v>39</v>
      </c>
      <c r="H50" s="4" t="s">
        <v>626</v>
      </c>
      <c r="I50" s="4" t="s">
        <v>627</v>
      </c>
      <c r="J50" s="4" t="s">
        <v>628</v>
      </c>
      <c r="K50" s="4" t="s">
        <v>579</v>
      </c>
      <c r="L50" s="12" t="s">
        <v>580</v>
      </c>
    </row>
    <row r="51" spans="1:12" ht="15" customHeight="1">
      <c r="A51" s="11" t="s">
        <v>246</v>
      </c>
      <c r="B51" s="5" t="s">
        <v>771</v>
      </c>
      <c r="C51" s="4" t="s">
        <v>10</v>
      </c>
      <c r="D51" s="4" t="s">
        <v>248</v>
      </c>
      <c r="E51" s="4" t="s">
        <v>180</v>
      </c>
      <c r="F51" s="4" t="s">
        <v>67</v>
      </c>
      <c r="G51" s="4" t="s">
        <v>247</v>
      </c>
      <c r="H51" s="4" t="s">
        <v>249</v>
      </c>
      <c r="I51" s="4" t="s">
        <v>192</v>
      </c>
      <c r="J51" s="4" t="s">
        <v>250</v>
      </c>
      <c r="K51" s="4" t="s">
        <v>251</v>
      </c>
      <c r="L51" s="12" t="s">
        <v>252</v>
      </c>
    </row>
    <row r="52" spans="1:12" ht="15" customHeight="1">
      <c r="A52" s="11" t="s">
        <v>299</v>
      </c>
      <c r="B52" s="5" t="s">
        <v>771</v>
      </c>
      <c r="C52" s="4" t="s">
        <v>10</v>
      </c>
      <c r="D52" s="4" t="s">
        <v>303</v>
      </c>
      <c r="E52" s="4" t="s">
        <v>300</v>
      </c>
      <c r="F52" s="4" t="s">
        <v>301</v>
      </c>
      <c r="G52" s="4" t="s">
        <v>302</v>
      </c>
      <c r="H52" s="4" t="s">
        <v>304</v>
      </c>
      <c r="I52" s="4" t="s">
        <v>305</v>
      </c>
      <c r="J52" s="4" t="s">
        <v>306</v>
      </c>
      <c r="K52" s="4" t="s">
        <v>307</v>
      </c>
      <c r="L52" s="12" t="s">
        <v>123</v>
      </c>
    </row>
    <row r="53" spans="1:12" ht="15" customHeight="1">
      <c r="A53" s="11" t="s">
        <v>211</v>
      </c>
      <c r="B53" s="5" t="s">
        <v>771</v>
      </c>
      <c r="C53" s="4" t="s">
        <v>10</v>
      </c>
      <c r="D53" s="4" t="s">
        <v>213</v>
      </c>
      <c r="E53" s="4" t="s">
        <v>180</v>
      </c>
      <c r="F53" s="4" t="s">
        <v>67</v>
      </c>
      <c r="G53" s="4" t="s">
        <v>212</v>
      </c>
      <c r="H53" s="4" t="s">
        <v>214</v>
      </c>
      <c r="I53" s="4" t="s">
        <v>215</v>
      </c>
      <c r="J53" s="4" t="s">
        <v>216</v>
      </c>
      <c r="K53" s="4" t="s">
        <v>217</v>
      </c>
      <c r="L53" s="12" t="s">
        <v>123</v>
      </c>
    </row>
    <row r="54" spans="1:12" ht="15" customHeight="1">
      <c r="A54" s="11" t="s">
        <v>483</v>
      </c>
      <c r="B54" s="5" t="s">
        <v>771</v>
      </c>
      <c r="C54" s="4" t="s">
        <v>11</v>
      </c>
      <c r="D54" s="4" t="s">
        <v>484</v>
      </c>
      <c r="E54" s="4" t="s">
        <v>476</v>
      </c>
      <c r="F54" s="4" t="s">
        <v>38</v>
      </c>
      <c r="G54" s="4" t="s">
        <v>39</v>
      </c>
      <c r="H54" s="4" t="s">
        <v>485</v>
      </c>
      <c r="I54" s="4" t="s">
        <v>486</v>
      </c>
      <c r="J54" s="4" t="s">
        <v>487</v>
      </c>
      <c r="K54" s="4" t="s">
        <v>488</v>
      </c>
      <c r="L54" s="12" t="s">
        <v>489</v>
      </c>
    </row>
    <row r="55" spans="1:12" ht="15" customHeight="1">
      <c r="A55" s="11" t="s">
        <v>91</v>
      </c>
      <c r="B55" s="5" t="s">
        <v>771</v>
      </c>
      <c r="C55" s="4" t="s">
        <v>9</v>
      </c>
      <c r="D55" s="4" t="s">
        <v>93</v>
      </c>
      <c r="E55" s="4" t="s">
        <v>66</v>
      </c>
      <c r="F55" s="4" t="s">
        <v>67</v>
      </c>
      <c r="G55" s="4" t="s">
        <v>92</v>
      </c>
      <c r="H55" s="4" t="s">
        <v>94</v>
      </c>
      <c r="I55" s="4" t="s">
        <v>95</v>
      </c>
      <c r="J55" s="4" t="s">
        <v>96</v>
      </c>
      <c r="K55" s="4" t="s">
        <v>97</v>
      </c>
      <c r="L55" s="12" t="s">
        <v>98</v>
      </c>
    </row>
    <row r="56" spans="1:12" ht="15" customHeight="1">
      <c r="A56" t="s">
        <v>787</v>
      </c>
      <c r="B56" s="5" t="s">
        <v>771</v>
      </c>
      <c r="C56" s="4" t="s">
        <v>11</v>
      </c>
      <c r="D56" t="s">
        <v>788</v>
      </c>
      <c r="E56" s="4" t="s">
        <v>476</v>
      </c>
      <c r="F56" s="4" t="s">
        <v>38</v>
      </c>
      <c r="G56" s="4" t="s">
        <v>39</v>
      </c>
      <c r="H56" s="4" t="s">
        <v>789</v>
      </c>
      <c r="I56" t="s">
        <v>782</v>
      </c>
      <c r="J56" t="s">
        <v>790</v>
      </c>
      <c r="K56" t="s">
        <v>791</v>
      </c>
      <c r="L56" s="12" t="s">
        <v>792</v>
      </c>
    </row>
    <row r="57" spans="1:12" ht="15" customHeight="1">
      <c r="A57" s="11" t="s">
        <v>160</v>
      </c>
      <c r="B57" s="5" t="s">
        <v>771</v>
      </c>
      <c r="C57" s="4" t="s">
        <v>10</v>
      </c>
      <c r="D57" s="4" t="s">
        <v>161</v>
      </c>
      <c r="E57" s="4" t="s">
        <v>116</v>
      </c>
      <c r="F57" s="4" t="s">
        <v>38</v>
      </c>
      <c r="G57" s="4" t="s">
        <v>39</v>
      </c>
      <c r="H57" s="4" t="s">
        <v>162</v>
      </c>
      <c r="I57" s="4" t="s">
        <v>163</v>
      </c>
      <c r="J57" s="4" t="s">
        <v>164</v>
      </c>
      <c r="K57" s="4" t="s">
        <v>165</v>
      </c>
      <c r="L57" s="12" t="s">
        <v>166</v>
      </c>
    </row>
    <row r="58" spans="1:12" ht="15" customHeight="1">
      <c r="A58" s="11" t="s">
        <v>695</v>
      </c>
      <c r="B58" s="6" t="s">
        <v>6</v>
      </c>
      <c r="C58" s="4" t="s">
        <v>10</v>
      </c>
      <c r="D58" s="4" t="s">
        <v>696</v>
      </c>
      <c r="E58" s="4" t="s">
        <v>684</v>
      </c>
      <c r="F58" s="4" t="s">
        <v>38</v>
      </c>
      <c r="G58" s="4" t="s">
        <v>39</v>
      </c>
      <c r="H58" s="4" t="s">
        <v>697</v>
      </c>
      <c r="I58" s="4" t="s">
        <v>698</v>
      </c>
      <c r="J58" s="4" t="s">
        <v>699</v>
      </c>
      <c r="K58" s="4" t="s">
        <v>688</v>
      </c>
      <c r="L58" s="12" t="s">
        <v>580</v>
      </c>
    </row>
    <row r="59" spans="1:12" ht="15" customHeight="1">
      <c r="A59" s="11" t="s">
        <v>407</v>
      </c>
      <c r="B59" s="5" t="s">
        <v>771</v>
      </c>
      <c r="C59" s="4" t="s">
        <v>11</v>
      </c>
      <c r="D59" s="4" t="s">
        <v>408</v>
      </c>
      <c r="E59" s="4" t="s">
        <v>370</v>
      </c>
      <c r="F59" s="4" t="s">
        <v>301</v>
      </c>
      <c r="G59" s="4" t="s">
        <v>346</v>
      </c>
      <c r="H59" s="4" t="s">
        <v>409</v>
      </c>
      <c r="I59" s="4" t="s">
        <v>373</v>
      </c>
      <c r="J59" s="4" t="s">
        <v>410</v>
      </c>
      <c r="K59" s="4" t="s">
        <v>411</v>
      </c>
      <c r="L59" s="12" t="s">
        <v>412</v>
      </c>
    </row>
    <row r="60" spans="1:12" ht="15" customHeight="1">
      <c r="A60" s="11" t="s">
        <v>420</v>
      </c>
      <c r="B60" s="5" t="s">
        <v>771</v>
      </c>
      <c r="C60" s="4" t="s">
        <v>11</v>
      </c>
      <c r="D60" s="4" t="s">
        <v>422</v>
      </c>
      <c r="E60" s="4" t="s">
        <v>370</v>
      </c>
      <c r="F60" s="4" t="s">
        <v>301</v>
      </c>
      <c r="G60" s="4" t="s">
        <v>421</v>
      </c>
      <c r="H60" s="4" t="s">
        <v>423</v>
      </c>
      <c r="I60" s="4" t="s">
        <v>373</v>
      </c>
      <c r="J60" s="4" t="s">
        <v>424</v>
      </c>
      <c r="K60" s="4" t="s">
        <v>425</v>
      </c>
      <c r="L60" s="12" t="s">
        <v>426</v>
      </c>
    </row>
    <row r="61" spans="1:12" ht="15" customHeight="1">
      <c r="A61" s="11" t="s">
        <v>661</v>
      </c>
      <c r="B61" s="6" t="s">
        <v>6</v>
      </c>
      <c r="C61" s="4" t="s">
        <v>9</v>
      </c>
      <c r="D61" s="4" t="s">
        <v>662</v>
      </c>
      <c r="E61" s="4" t="s">
        <v>631</v>
      </c>
      <c r="F61" s="4" t="s">
        <v>67</v>
      </c>
      <c r="G61" s="4" t="s">
        <v>663</v>
      </c>
      <c r="H61" s="4" t="s">
        <v>664</v>
      </c>
      <c r="I61" s="4" t="s">
        <v>665</v>
      </c>
      <c r="J61" s="4" t="s">
        <v>666</v>
      </c>
      <c r="K61" s="4" t="s">
        <v>579</v>
      </c>
      <c r="L61" s="12" t="s">
        <v>580</v>
      </c>
    </row>
    <row r="62" spans="1:12" ht="15" customHeight="1">
      <c r="A62" s="11" t="s">
        <v>573</v>
      </c>
      <c r="B62" s="6" t="s">
        <v>6</v>
      </c>
      <c r="C62" s="4" t="s">
        <v>9</v>
      </c>
      <c r="D62" s="4" t="s">
        <v>574</v>
      </c>
      <c r="E62" s="4" t="s">
        <v>575</v>
      </c>
      <c r="F62" s="4" t="s">
        <v>38</v>
      </c>
      <c r="G62" s="4" t="s">
        <v>39</v>
      </c>
      <c r="H62" s="8" t="s">
        <v>576</v>
      </c>
      <c r="I62" s="8" t="s">
        <v>577</v>
      </c>
      <c r="J62" s="4" t="s">
        <v>578</v>
      </c>
      <c r="K62" s="4" t="s">
        <v>579</v>
      </c>
      <c r="L62" s="12" t="s">
        <v>580</v>
      </c>
    </row>
    <row r="63" spans="1:12" ht="15" customHeight="1">
      <c r="A63" s="11" t="s">
        <v>179</v>
      </c>
      <c r="B63" s="5" t="s">
        <v>771</v>
      </c>
      <c r="C63" s="4" t="s">
        <v>10</v>
      </c>
      <c r="D63" s="4" t="s">
        <v>182</v>
      </c>
      <c r="E63" s="4" t="s">
        <v>180</v>
      </c>
      <c r="F63" s="4" t="s">
        <v>67</v>
      </c>
      <c r="G63" s="4" t="s">
        <v>181</v>
      </c>
      <c r="H63" s="4" t="s">
        <v>183</v>
      </c>
      <c r="I63" s="4" t="s">
        <v>184</v>
      </c>
      <c r="J63" s="4" t="s">
        <v>185</v>
      </c>
      <c r="K63" s="4" t="s">
        <v>186</v>
      </c>
      <c r="L63" s="12" t="s">
        <v>187</v>
      </c>
    </row>
    <row r="64" spans="1:12" ht="15" customHeight="1">
      <c r="A64" s="11" t="s">
        <v>712</v>
      </c>
      <c r="B64" s="6" t="s">
        <v>6</v>
      </c>
      <c r="C64" s="4" t="s">
        <v>10</v>
      </c>
      <c r="D64" s="4" t="s">
        <v>713</v>
      </c>
      <c r="E64" s="4" t="s">
        <v>684</v>
      </c>
      <c r="F64" s="4" t="s">
        <v>67</v>
      </c>
      <c r="G64" s="4" t="s">
        <v>346</v>
      </c>
      <c r="H64" s="4" t="s">
        <v>714</v>
      </c>
      <c r="I64" s="4" t="s">
        <v>715</v>
      </c>
      <c r="J64" s="4" t="s">
        <v>716</v>
      </c>
      <c r="K64" s="4" t="s">
        <v>688</v>
      </c>
      <c r="L64" s="12" t="s">
        <v>580</v>
      </c>
    </row>
    <row r="65" spans="1:12" ht="15" customHeight="1">
      <c r="A65" s="11" t="s">
        <v>148</v>
      </c>
      <c r="B65" s="5" t="s">
        <v>771</v>
      </c>
      <c r="C65" s="4" t="s">
        <v>10</v>
      </c>
      <c r="D65" s="4" t="s">
        <v>149</v>
      </c>
      <c r="E65" s="4" t="s">
        <v>116</v>
      </c>
      <c r="F65" s="4" t="s">
        <v>38</v>
      </c>
      <c r="G65" s="4" t="s">
        <v>39</v>
      </c>
      <c r="H65" s="4" t="s">
        <v>150</v>
      </c>
      <c r="I65" s="4" t="s">
        <v>151</v>
      </c>
      <c r="J65" s="4" t="s">
        <v>152</v>
      </c>
      <c r="K65" s="4" t="s">
        <v>153</v>
      </c>
      <c r="L65" s="12" t="s">
        <v>123</v>
      </c>
    </row>
    <row r="66" spans="1:12" ht="15" customHeight="1">
      <c r="A66" s="11" t="s">
        <v>740</v>
      </c>
      <c r="B66" s="6" t="s">
        <v>6</v>
      </c>
      <c r="C66" s="4" t="s">
        <v>11</v>
      </c>
      <c r="D66" s="4" t="s">
        <v>741</v>
      </c>
      <c r="E66" s="4" t="s">
        <v>725</v>
      </c>
      <c r="F66" s="4" t="s">
        <v>67</v>
      </c>
      <c r="G66" s="4" t="s">
        <v>731</v>
      </c>
      <c r="H66" s="4" t="s">
        <v>742</v>
      </c>
      <c r="I66" s="4" t="s">
        <v>743</v>
      </c>
      <c r="J66" s="4" t="s">
        <v>744</v>
      </c>
      <c r="K66" s="4" t="s">
        <v>722</v>
      </c>
      <c r="L66" s="12" t="s">
        <v>580</v>
      </c>
    </row>
    <row r="67" spans="1:12" ht="15" customHeight="1">
      <c r="A67" s="11" t="s">
        <v>468</v>
      </c>
      <c r="B67" s="5" t="s">
        <v>771</v>
      </c>
      <c r="C67" s="4" t="s">
        <v>11</v>
      </c>
      <c r="D67" s="4" t="s">
        <v>470</v>
      </c>
      <c r="E67" s="4" t="s">
        <v>370</v>
      </c>
      <c r="F67" s="4" t="s">
        <v>301</v>
      </c>
      <c r="G67" s="4" t="s">
        <v>469</v>
      </c>
      <c r="H67" s="4" t="s">
        <v>471</v>
      </c>
      <c r="I67" s="4" t="s">
        <v>373</v>
      </c>
      <c r="J67" s="4" t="s">
        <v>472</v>
      </c>
      <c r="K67" s="4" t="s">
        <v>473</v>
      </c>
      <c r="L67" s="12" t="s">
        <v>474</v>
      </c>
    </row>
    <row r="68" spans="1:12" ht="15" customHeight="1">
      <c r="A68" s="11" t="s">
        <v>383</v>
      </c>
      <c r="B68" s="5" t="s">
        <v>771</v>
      </c>
      <c r="C68" s="4" t="s">
        <v>11</v>
      </c>
      <c r="D68" s="4" t="s">
        <v>384</v>
      </c>
      <c r="E68" s="4" t="s">
        <v>370</v>
      </c>
      <c r="F68" s="4" t="s">
        <v>301</v>
      </c>
      <c r="G68" s="4" t="s">
        <v>317</v>
      </c>
      <c r="H68" s="4" t="s">
        <v>385</v>
      </c>
      <c r="I68" s="4" t="s">
        <v>373</v>
      </c>
      <c r="J68" s="4" t="s">
        <v>386</v>
      </c>
      <c r="K68" s="4" t="s">
        <v>387</v>
      </c>
      <c r="L68" s="12" t="s">
        <v>388</v>
      </c>
    </row>
    <row r="69" spans="1:12" ht="15" customHeight="1">
      <c r="A69" s="11" t="s">
        <v>779</v>
      </c>
      <c r="B69" s="5" t="s">
        <v>771</v>
      </c>
      <c r="C69" s="4" t="s">
        <v>11</v>
      </c>
      <c r="D69" s="4" t="s">
        <v>775</v>
      </c>
      <c r="E69" s="4" t="s">
        <v>37</v>
      </c>
      <c r="F69" s="4" t="s">
        <v>38</v>
      </c>
      <c r="G69" s="4" t="s">
        <v>39</v>
      </c>
      <c r="H69" s="20" t="s">
        <v>776</v>
      </c>
      <c r="I69" s="20" t="s">
        <v>777</v>
      </c>
      <c r="J69" s="4" t="s">
        <v>778</v>
      </c>
      <c r="K69" s="4" t="s">
        <v>209</v>
      </c>
      <c r="L69" s="12" t="s">
        <v>561</v>
      </c>
    </row>
    <row r="70" spans="1:12" ht="15" customHeight="1">
      <c r="A70" s="11" t="s">
        <v>323</v>
      </c>
      <c r="B70" s="5" t="s">
        <v>771</v>
      </c>
      <c r="C70" s="4" t="s">
        <v>10</v>
      </c>
      <c r="D70" s="4" t="s">
        <v>325</v>
      </c>
      <c r="E70" s="4" t="s">
        <v>300</v>
      </c>
      <c r="F70" s="4" t="s">
        <v>301</v>
      </c>
      <c r="G70" s="4" t="s">
        <v>324</v>
      </c>
      <c r="H70" s="4" t="s">
        <v>326</v>
      </c>
      <c r="I70" s="4" t="s">
        <v>207</v>
      </c>
      <c r="J70" s="4" t="s">
        <v>327</v>
      </c>
      <c r="K70" s="4" t="s">
        <v>328</v>
      </c>
      <c r="L70" s="12" t="s">
        <v>329</v>
      </c>
    </row>
    <row r="71" spans="1:12" ht="15" customHeight="1">
      <c r="A71" s="11" t="s">
        <v>635</v>
      </c>
      <c r="B71" s="6" t="s">
        <v>6</v>
      </c>
      <c r="C71" s="4" t="s">
        <v>9</v>
      </c>
      <c r="D71" s="4" t="s">
        <v>636</v>
      </c>
      <c r="E71" s="4" t="s">
        <v>631</v>
      </c>
      <c r="F71" s="4" t="s">
        <v>38</v>
      </c>
      <c r="G71" s="4" t="s">
        <v>39</v>
      </c>
      <c r="H71" s="4" t="s">
        <v>637</v>
      </c>
      <c r="I71" s="4" t="s">
        <v>638</v>
      </c>
      <c r="J71" s="4" t="s">
        <v>639</v>
      </c>
      <c r="K71" s="4" t="s">
        <v>579</v>
      </c>
      <c r="L71" s="12" t="s">
        <v>580</v>
      </c>
    </row>
    <row r="72" spans="1:12" ht="15" customHeight="1">
      <c r="A72" s="11" t="s">
        <v>124</v>
      </c>
      <c r="B72" s="5" t="s">
        <v>771</v>
      </c>
      <c r="C72" s="4" t="s">
        <v>10</v>
      </c>
      <c r="D72" s="4" t="s">
        <v>125</v>
      </c>
      <c r="E72" s="4" t="s">
        <v>116</v>
      </c>
      <c r="F72" s="4" t="s">
        <v>38</v>
      </c>
      <c r="G72" s="4" t="s">
        <v>39</v>
      </c>
      <c r="H72" s="4" t="s">
        <v>126</v>
      </c>
      <c r="I72" s="4" t="s">
        <v>127</v>
      </c>
      <c r="J72" s="4" t="s">
        <v>128</v>
      </c>
      <c r="K72" s="4" t="s">
        <v>129</v>
      </c>
      <c r="L72" s="12" t="s">
        <v>123</v>
      </c>
    </row>
    <row r="73" spans="1:12" ht="15" customHeight="1">
      <c r="A73" s="11" t="s">
        <v>596</v>
      </c>
      <c r="B73" s="6" t="s">
        <v>6</v>
      </c>
      <c r="C73" s="4" t="s">
        <v>9</v>
      </c>
      <c r="D73" s="4" t="s">
        <v>597</v>
      </c>
      <c r="E73" s="4" t="s">
        <v>598</v>
      </c>
      <c r="F73" s="4" t="s">
        <v>38</v>
      </c>
      <c r="G73" s="4" t="s">
        <v>39</v>
      </c>
      <c r="H73" s="4" t="s">
        <v>599</v>
      </c>
      <c r="I73" s="4" t="s">
        <v>600</v>
      </c>
      <c r="J73" s="4" t="s">
        <v>601</v>
      </c>
      <c r="K73" s="4" t="s">
        <v>579</v>
      </c>
      <c r="L73" s="12" t="s">
        <v>580</v>
      </c>
    </row>
    <row r="74" spans="1:12" ht="15" customHeight="1">
      <c r="A74" s="11" t="s">
        <v>173</v>
      </c>
      <c r="B74" s="5" t="s">
        <v>771</v>
      </c>
      <c r="C74" s="4" t="s">
        <v>10</v>
      </c>
      <c r="D74" s="4" t="s">
        <v>174</v>
      </c>
      <c r="E74" s="4" t="s">
        <v>116</v>
      </c>
      <c r="F74" s="4" t="s">
        <v>38</v>
      </c>
      <c r="G74" s="4" t="s">
        <v>39</v>
      </c>
      <c r="H74" s="4" t="s">
        <v>175</v>
      </c>
      <c r="I74" s="4" t="s">
        <v>176</v>
      </c>
      <c r="J74" s="4" t="s">
        <v>177</v>
      </c>
      <c r="K74" s="4" t="s">
        <v>178</v>
      </c>
      <c r="L74" s="12" t="s">
        <v>123</v>
      </c>
    </row>
    <row r="75" spans="1:12" ht="15" customHeight="1">
      <c r="A75" s="11" t="s">
        <v>47</v>
      </c>
      <c r="B75" s="5" t="s">
        <v>771</v>
      </c>
      <c r="C75" s="4" t="s">
        <v>9</v>
      </c>
      <c r="D75" s="4" t="s">
        <v>48</v>
      </c>
      <c r="E75" s="4" t="s">
        <v>37</v>
      </c>
      <c r="F75" s="4" t="s">
        <v>38</v>
      </c>
      <c r="G75" s="4" t="s">
        <v>39</v>
      </c>
      <c r="H75" s="4" t="s">
        <v>49</v>
      </c>
      <c r="I75" s="4" t="s">
        <v>50</v>
      </c>
      <c r="J75" s="4" t="s">
        <v>51</v>
      </c>
      <c r="K75" s="4" t="s">
        <v>52</v>
      </c>
      <c r="L75" s="12" t="s">
        <v>46</v>
      </c>
    </row>
    <row r="76" spans="1:12" ht="15" customHeight="1">
      <c r="A76" s="11" t="s">
        <v>682</v>
      </c>
      <c r="B76" s="6" t="s">
        <v>6</v>
      </c>
      <c r="C76" s="4" t="s">
        <v>10</v>
      </c>
      <c r="D76" s="4" t="s">
        <v>683</v>
      </c>
      <c r="E76" s="4" t="s">
        <v>684</v>
      </c>
      <c r="F76" s="4" t="s">
        <v>38</v>
      </c>
      <c r="G76" s="4" t="s">
        <v>39</v>
      </c>
      <c r="H76" s="4" t="s">
        <v>685</v>
      </c>
      <c r="I76" s="4" t="s">
        <v>686</v>
      </c>
      <c r="J76" s="4" t="s">
        <v>687</v>
      </c>
      <c r="K76" s="4" t="s">
        <v>688</v>
      </c>
      <c r="L76" s="12" t="s">
        <v>580</v>
      </c>
    </row>
    <row r="77" spans="1:12" ht="15" customHeight="1">
      <c r="A77" s="11" t="s">
        <v>612</v>
      </c>
      <c r="B77" s="6" t="s">
        <v>6</v>
      </c>
      <c r="C77" s="4" t="s">
        <v>9</v>
      </c>
      <c r="D77" s="4" t="s">
        <v>613</v>
      </c>
      <c r="E77" s="4" t="s">
        <v>614</v>
      </c>
      <c r="F77" s="4" t="s">
        <v>38</v>
      </c>
      <c r="G77" s="4" t="s">
        <v>39</v>
      </c>
      <c r="H77" s="4" t="s">
        <v>615</v>
      </c>
      <c r="I77" s="4" t="s">
        <v>616</v>
      </c>
      <c r="J77" s="4" t="s">
        <v>617</v>
      </c>
      <c r="K77" s="4" t="s">
        <v>579</v>
      </c>
      <c r="L77" s="12" t="s">
        <v>580</v>
      </c>
    </row>
    <row r="78" spans="1:12" ht="15" customHeight="1">
      <c r="A78" s="11" t="s">
        <v>308</v>
      </c>
      <c r="B78" s="5" t="s">
        <v>771</v>
      </c>
      <c r="C78" s="4" t="s">
        <v>10</v>
      </c>
      <c r="D78" s="4" t="s">
        <v>310</v>
      </c>
      <c r="E78" s="4" t="s">
        <v>300</v>
      </c>
      <c r="F78" s="4" t="s">
        <v>301</v>
      </c>
      <c r="G78" s="4" t="s">
        <v>309</v>
      </c>
      <c r="H78" s="4" t="s">
        <v>311</v>
      </c>
      <c r="I78" s="4" t="s">
        <v>312</v>
      </c>
      <c r="J78" s="4" t="s">
        <v>313</v>
      </c>
      <c r="K78" s="4" t="s">
        <v>314</v>
      </c>
      <c r="L78" s="12" t="s">
        <v>315</v>
      </c>
    </row>
    <row r="79" spans="1:12" ht="15" customHeight="1">
      <c r="A79" s="11" t="s">
        <v>239</v>
      </c>
      <c r="B79" s="5" t="s">
        <v>771</v>
      </c>
      <c r="C79" s="4" t="s">
        <v>10</v>
      </c>
      <c r="D79" s="4" t="s">
        <v>241</v>
      </c>
      <c r="E79" s="4" t="s">
        <v>180</v>
      </c>
      <c r="F79" s="4" t="s">
        <v>67</v>
      </c>
      <c r="G79" s="4" t="s">
        <v>240</v>
      </c>
      <c r="H79" s="4" t="s">
        <v>242</v>
      </c>
      <c r="I79" s="4" t="s">
        <v>243</v>
      </c>
      <c r="J79" s="4" t="s">
        <v>244</v>
      </c>
      <c r="K79" s="4" t="s">
        <v>245</v>
      </c>
      <c r="L79" s="12" t="s">
        <v>123</v>
      </c>
    </row>
    <row r="80" spans="1:12" ht="15" customHeight="1">
      <c r="A80" s="11" t="s">
        <v>672</v>
      </c>
      <c r="B80" s="6" t="s">
        <v>6</v>
      </c>
      <c r="C80" s="4" t="s">
        <v>9</v>
      </c>
      <c r="D80" s="4" t="s">
        <v>673</v>
      </c>
      <c r="E80" s="4" t="s">
        <v>631</v>
      </c>
      <c r="F80" s="4" t="s">
        <v>38</v>
      </c>
      <c r="G80" s="4" t="s">
        <v>39</v>
      </c>
      <c r="H80" s="4" t="s">
        <v>674</v>
      </c>
      <c r="I80" s="4" t="s">
        <v>675</v>
      </c>
      <c r="J80" s="4" t="s">
        <v>676</v>
      </c>
      <c r="K80" s="4" t="s">
        <v>579</v>
      </c>
      <c r="L80" s="12" t="s">
        <v>580</v>
      </c>
    </row>
    <row r="81" spans="1:12" ht="15" customHeight="1">
      <c r="A81" s="11" t="s">
        <v>188</v>
      </c>
      <c r="B81" s="5" t="s">
        <v>771</v>
      </c>
      <c r="C81" s="4" t="s">
        <v>10</v>
      </c>
      <c r="D81" s="4" t="s">
        <v>190</v>
      </c>
      <c r="E81" s="4" t="s">
        <v>180</v>
      </c>
      <c r="F81" s="4" t="s">
        <v>67</v>
      </c>
      <c r="G81" s="4" t="s">
        <v>189</v>
      </c>
      <c r="H81" s="4" t="s">
        <v>191</v>
      </c>
      <c r="I81" s="4" t="s">
        <v>192</v>
      </c>
      <c r="J81" s="4" t="s">
        <v>193</v>
      </c>
      <c r="K81" s="4" t="s">
        <v>194</v>
      </c>
      <c r="L81" s="12" t="s">
        <v>195</v>
      </c>
    </row>
    <row r="82" spans="1:12" ht="15" customHeight="1">
      <c r="A82" s="11" t="s">
        <v>427</v>
      </c>
      <c r="B82" s="5" t="s">
        <v>771</v>
      </c>
      <c r="C82" s="4" t="s">
        <v>11</v>
      </c>
      <c r="D82" s="4" t="s">
        <v>428</v>
      </c>
      <c r="E82" s="4" t="s">
        <v>370</v>
      </c>
      <c r="F82" s="4" t="s">
        <v>301</v>
      </c>
      <c r="G82" s="4" t="s">
        <v>354</v>
      </c>
      <c r="H82" s="4" t="s">
        <v>429</v>
      </c>
      <c r="I82" s="4" t="s">
        <v>373</v>
      </c>
      <c r="J82" s="4" t="s">
        <v>430</v>
      </c>
      <c r="K82" s="4" t="s">
        <v>431</v>
      </c>
      <c r="L82" s="12" t="s">
        <v>432</v>
      </c>
    </row>
    <row r="83" spans="1:12" ht="15" customHeight="1">
      <c r="A83" s="11" t="s">
        <v>377</v>
      </c>
      <c r="B83" s="5" t="s">
        <v>771</v>
      </c>
      <c r="C83" s="4" t="s">
        <v>11</v>
      </c>
      <c r="D83" s="4" t="s">
        <v>378</v>
      </c>
      <c r="E83" s="4" t="s">
        <v>370</v>
      </c>
      <c r="F83" s="4" t="s">
        <v>301</v>
      </c>
      <c r="G83" s="4" t="s">
        <v>309</v>
      </c>
      <c r="H83" s="4" t="s">
        <v>379</v>
      </c>
      <c r="I83" s="4" t="s">
        <v>373</v>
      </c>
      <c r="J83" s="4" t="s">
        <v>380</v>
      </c>
      <c r="K83" s="4" t="s">
        <v>381</v>
      </c>
      <c r="L83" s="12" t="s">
        <v>382</v>
      </c>
    </row>
    <row r="84" spans="1:12" ht="15" customHeight="1">
      <c r="A84" s="11" t="s">
        <v>629</v>
      </c>
      <c r="B84" s="6" t="s">
        <v>6</v>
      </c>
      <c r="C84" s="4" t="s">
        <v>9</v>
      </c>
      <c r="D84" s="4" t="s">
        <v>630</v>
      </c>
      <c r="E84" s="4" t="s">
        <v>631</v>
      </c>
      <c r="F84" s="4" t="s">
        <v>38</v>
      </c>
      <c r="G84" s="4" t="s">
        <v>39</v>
      </c>
      <c r="H84" s="4" t="s">
        <v>632</v>
      </c>
      <c r="I84" s="4" t="s">
        <v>633</v>
      </c>
      <c r="J84" s="4" t="s">
        <v>634</v>
      </c>
      <c r="K84" s="4" t="s">
        <v>579</v>
      </c>
      <c r="L84" s="12" t="s">
        <v>580</v>
      </c>
    </row>
    <row r="85" spans="1:12" ht="15" customHeight="1">
      <c r="A85" s="11" t="s">
        <v>591</v>
      </c>
      <c r="B85" s="6" t="s">
        <v>6</v>
      </c>
      <c r="C85" s="4" t="s">
        <v>9</v>
      </c>
      <c r="D85" s="4" t="s">
        <v>592</v>
      </c>
      <c r="E85" s="4" t="s">
        <v>575</v>
      </c>
      <c r="F85" s="4" t="s">
        <v>38</v>
      </c>
      <c r="G85" s="4" t="s">
        <v>39</v>
      </c>
      <c r="H85" s="4" t="s">
        <v>593</v>
      </c>
      <c r="I85" s="4" t="s">
        <v>594</v>
      </c>
      <c r="J85" s="4" t="s">
        <v>595</v>
      </c>
      <c r="K85" s="4" t="s">
        <v>579</v>
      </c>
      <c r="L85" s="12" t="s">
        <v>580</v>
      </c>
    </row>
    <row r="86" spans="1:12" ht="15" customHeight="1">
      <c r="A86" s="11" t="s">
        <v>136</v>
      </c>
      <c r="B86" s="5" t="s">
        <v>771</v>
      </c>
      <c r="C86" s="4" t="s">
        <v>10</v>
      </c>
      <c r="D86" s="4" t="s">
        <v>137</v>
      </c>
      <c r="E86" s="4" t="s">
        <v>116</v>
      </c>
      <c r="F86" s="4" t="s">
        <v>38</v>
      </c>
      <c r="G86" s="4" t="s">
        <v>39</v>
      </c>
      <c r="H86" s="4" t="s">
        <v>138</v>
      </c>
      <c r="I86" s="4" t="s">
        <v>139</v>
      </c>
      <c r="J86" s="4" t="s">
        <v>140</v>
      </c>
      <c r="K86" s="4" t="s">
        <v>141</v>
      </c>
      <c r="L86" s="12" t="s">
        <v>123</v>
      </c>
    </row>
    <row r="87" spans="1:12" ht="15" customHeight="1">
      <c r="A87" s="11" t="s">
        <v>602</v>
      </c>
      <c r="B87" s="6" t="s">
        <v>6</v>
      </c>
      <c r="C87" s="4" t="s">
        <v>9</v>
      </c>
      <c r="D87" s="4" t="s">
        <v>603</v>
      </c>
      <c r="E87" s="4" t="s">
        <v>598</v>
      </c>
      <c r="F87" s="4" t="s">
        <v>38</v>
      </c>
      <c r="G87" s="4" t="s">
        <v>39</v>
      </c>
      <c r="H87" s="4" t="s">
        <v>604</v>
      </c>
      <c r="I87" s="4" t="s">
        <v>605</v>
      </c>
      <c r="J87" s="4" t="s">
        <v>606</v>
      </c>
      <c r="K87" s="4" t="s">
        <v>579</v>
      </c>
      <c r="L87" s="12" t="s">
        <v>580</v>
      </c>
    </row>
    <row r="88" spans="1:12" ht="15" customHeight="1">
      <c r="A88" s="11" t="s">
        <v>106</v>
      </c>
      <c r="B88" s="5" t="s">
        <v>771</v>
      </c>
      <c r="C88" s="4" t="s">
        <v>9</v>
      </c>
      <c r="D88" s="4" t="s">
        <v>108</v>
      </c>
      <c r="E88" s="4" t="s">
        <v>107</v>
      </c>
      <c r="F88" s="4" t="s">
        <v>38</v>
      </c>
      <c r="G88" s="4" t="s">
        <v>39</v>
      </c>
      <c r="H88" s="4" t="s">
        <v>109</v>
      </c>
      <c r="I88" s="4" t="s">
        <v>110</v>
      </c>
      <c r="J88" s="4" t="s">
        <v>111</v>
      </c>
      <c r="K88" s="4" t="s">
        <v>112</v>
      </c>
      <c r="L88" s="12" t="s">
        <v>114</v>
      </c>
    </row>
    <row r="89" spans="1:12" ht="15" customHeight="1">
      <c r="A89" s="11" t="s">
        <v>607</v>
      </c>
      <c r="B89" s="6" t="s">
        <v>6</v>
      </c>
      <c r="C89" s="4" t="s">
        <v>9</v>
      </c>
      <c r="D89" s="4" t="s">
        <v>608</v>
      </c>
      <c r="E89" s="4" t="s">
        <v>598</v>
      </c>
      <c r="F89" s="4" t="s">
        <v>38</v>
      </c>
      <c r="G89" s="4" t="s">
        <v>39</v>
      </c>
      <c r="H89" s="4" t="s">
        <v>609</v>
      </c>
      <c r="I89" s="4" t="s">
        <v>610</v>
      </c>
      <c r="J89" s="4" t="s">
        <v>611</v>
      </c>
      <c r="K89" s="4" t="s">
        <v>579</v>
      </c>
      <c r="L89" s="12" t="s">
        <v>580</v>
      </c>
    </row>
    <row r="90" spans="1:12" ht="15" customHeight="1">
      <c r="A90" s="11" t="s">
        <v>59</v>
      </c>
      <c r="B90" s="5" t="s">
        <v>771</v>
      </c>
      <c r="C90" s="4" t="s">
        <v>9</v>
      </c>
      <c r="D90" s="4" t="s">
        <v>60</v>
      </c>
      <c r="E90" s="4" t="s">
        <v>37</v>
      </c>
      <c r="F90" s="4" t="s">
        <v>38</v>
      </c>
      <c r="G90" s="4" t="s">
        <v>39</v>
      </c>
      <c r="H90" s="4" t="s">
        <v>61</v>
      </c>
      <c r="I90" s="4" t="s">
        <v>62</v>
      </c>
      <c r="J90" s="4" t="s">
        <v>63</v>
      </c>
      <c r="K90" s="4" t="s">
        <v>64</v>
      </c>
      <c r="L90" s="12" t="s">
        <v>46</v>
      </c>
    </row>
    <row r="91" spans="1:12" ht="15" customHeight="1">
      <c r="A91" s="11" t="s">
        <v>338</v>
      </c>
      <c r="B91" s="5" t="s">
        <v>771</v>
      </c>
      <c r="C91" s="4" t="s">
        <v>10</v>
      </c>
      <c r="D91" s="4" t="s">
        <v>340</v>
      </c>
      <c r="E91" s="4" t="s">
        <v>300</v>
      </c>
      <c r="F91" s="4" t="s">
        <v>301</v>
      </c>
      <c r="G91" s="4" t="s">
        <v>339</v>
      </c>
      <c r="H91" s="4" t="s">
        <v>341</v>
      </c>
      <c r="I91" s="4" t="s">
        <v>221</v>
      </c>
      <c r="J91" s="4" t="s">
        <v>342</v>
      </c>
      <c r="K91" s="4" t="s">
        <v>343</v>
      </c>
      <c r="L91" s="12" t="s">
        <v>344</v>
      </c>
    </row>
    <row r="92" spans="1:12" ht="15" customHeight="1">
      <c r="A92" s="11" t="s">
        <v>440</v>
      </c>
      <c r="B92" s="5" t="s">
        <v>771</v>
      </c>
      <c r="C92" s="4" t="s">
        <v>11</v>
      </c>
      <c r="D92" s="4" t="s">
        <v>442</v>
      </c>
      <c r="E92" s="4" t="s">
        <v>370</v>
      </c>
      <c r="F92" s="4" t="s">
        <v>301</v>
      </c>
      <c r="G92" s="4" t="s">
        <v>441</v>
      </c>
      <c r="H92" s="4" t="s">
        <v>443</v>
      </c>
      <c r="I92" s="4" t="s">
        <v>373</v>
      </c>
      <c r="J92" s="4" t="s">
        <v>444</v>
      </c>
      <c r="K92" s="4" t="s">
        <v>445</v>
      </c>
      <c r="L92" s="12" t="s">
        <v>446</v>
      </c>
    </row>
    <row r="93" spans="1:12" ht="15" customHeight="1">
      <c r="A93" s="11" t="s">
        <v>154</v>
      </c>
      <c r="B93" s="5" t="s">
        <v>771</v>
      </c>
      <c r="C93" s="4" t="s">
        <v>10</v>
      </c>
      <c r="D93" s="4" t="s">
        <v>155</v>
      </c>
      <c r="E93" s="4" t="s">
        <v>116</v>
      </c>
      <c r="F93" s="4" t="s">
        <v>38</v>
      </c>
      <c r="G93" s="4" t="s">
        <v>39</v>
      </c>
      <c r="H93" s="4" t="s">
        <v>156</v>
      </c>
      <c r="I93" s="4" t="s">
        <v>157</v>
      </c>
      <c r="J93" s="4" t="s">
        <v>158</v>
      </c>
      <c r="K93" s="4" t="s">
        <v>159</v>
      </c>
      <c r="L93" s="12" t="s">
        <v>123</v>
      </c>
    </row>
    <row r="94" spans="1:12" ht="15" customHeight="1">
      <c r="A94" s="11" t="s">
        <v>36</v>
      </c>
      <c r="B94" s="5" t="s">
        <v>771</v>
      </c>
      <c r="C94" s="4" t="s">
        <v>9</v>
      </c>
      <c r="D94" s="4" t="s">
        <v>40</v>
      </c>
      <c r="E94" s="4" t="s">
        <v>37</v>
      </c>
      <c r="F94" s="4" t="s">
        <v>38</v>
      </c>
      <c r="G94" s="4" t="s">
        <v>39</v>
      </c>
      <c r="H94" s="4" t="s">
        <v>41</v>
      </c>
      <c r="I94" s="4" t="s">
        <v>42</v>
      </c>
      <c r="J94" s="4" t="s">
        <v>43</v>
      </c>
      <c r="K94" s="4" t="s">
        <v>44</v>
      </c>
      <c r="L94" s="12" t="s">
        <v>46</v>
      </c>
    </row>
    <row r="95" spans="1:12" ht="15" customHeight="1">
      <c r="A95" s="11" t="s">
        <v>269</v>
      </c>
      <c r="B95" s="5" t="s">
        <v>771</v>
      </c>
      <c r="C95" s="4" t="s">
        <v>10</v>
      </c>
      <c r="D95" s="4" t="s">
        <v>271</v>
      </c>
      <c r="E95" s="4" t="s">
        <v>180</v>
      </c>
      <c r="F95" s="4" t="s">
        <v>67</v>
      </c>
      <c r="G95" s="4" t="s">
        <v>270</v>
      </c>
      <c r="H95" s="4" t="s">
        <v>272</v>
      </c>
      <c r="I95" s="4" t="s">
        <v>273</v>
      </c>
      <c r="J95" s="4" t="s">
        <v>274</v>
      </c>
      <c r="K95" s="4" t="s">
        <v>275</v>
      </c>
      <c r="L95" s="12" t="s">
        <v>276</v>
      </c>
    </row>
    <row r="96" spans="1:12" ht="15" customHeight="1">
      <c r="A96" s="11" t="s">
        <v>717</v>
      </c>
      <c r="B96" s="6" t="s">
        <v>6</v>
      </c>
      <c r="C96" s="4" t="s">
        <v>11</v>
      </c>
      <c r="D96" s="4" t="s">
        <v>718</v>
      </c>
      <c r="E96" s="4" t="s">
        <v>362</v>
      </c>
      <c r="F96" s="4" t="s">
        <v>38</v>
      </c>
      <c r="G96" s="4" t="s">
        <v>39</v>
      </c>
      <c r="H96" s="4" t="s">
        <v>719</v>
      </c>
      <c r="I96" s="4" t="s">
        <v>720</v>
      </c>
      <c r="J96" s="4" t="s">
        <v>721</v>
      </c>
      <c r="K96" s="4" t="s">
        <v>786</v>
      </c>
      <c r="L96" s="12" t="s">
        <v>580</v>
      </c>
    </row>
    <row r="97" spans="1:12" ht="15" customHeight="1">
      <c r="A97" s="11" t="s">
        <v>765</v>
      </c>
      <c r="B97" s="6" t="s">
        <v>6</v>
      </c>
      <c r="C97" s="4" t="s">
        <v>11</v>
      </c>
      <c r="D97" s="4" t="s">
        <v>766</v>
      </c>
      <c r="E97" s="4" t="s">
        <v>757</v>
      </c>
      <c r="F97" s="4" t="s">
        <v>67</v>
      </c>
      <c r="G97" s="4" t="s">
        <v>758</v>
      </c>
      <c r="H97" s="4" t="s">
        <v>767</v>
      </c>
      <c r="I97" s="4" t="s">
        <v>760</v>
      </c>
      <c r="J97" s="4" t="s">
        <v>761</v>
      </c>
      <c r="K97" s="4" t="s">
        <v>786</v>
      </c>
      <c r="L97" s="12" t="s">
        <v>580</v>
      </c>
    </row>
    <row r="98" spans="1:12" ht="15" customHeight="1">
      <c r="A98" s="11" t="s">
        <v>755</v>
      </c>
      <c r="B98" s="6" t="s">
        <v>6</v>
      </c>
      <c r="C98" s="4" t="s">
        <v>11</v>
      </c>
      <c r="D98" s="4" t="s">
        <v>756</v>
      </c>
      <c r="E98" s="4" t="s">
        <v>757</v>
      </c>
      <c r="F98" s="4" t="s">
        <v>67</v>
      </c>
      <c r="G98" s="4" t="s">
        <v>758</v>
      </c>
      <c r="H98" s="4" t="s">
        <v>759</v>
      </c>
      <c r="I98" s="4" t="s">
        <v>760</v>
      </c>
      <c r="J98" s="4" t="s">
        <v>761</v>
      </c>
      <c r="K98" s="4" t="s">
        <v>786</v>
      </c>
      <c r="L98" s="12" t="s">
        <v>580</v>
      </c>
    </row>
    <row r="99" spans="1:12" ht="15" customHeight="1">
      <c r="A99" s="11" t="s">
        <v>768</v>
      </c>
      <c r="B99" s="6" t="s">
        <v>6</v>
      </c>
      <c r="C99" s="4" t="s">
        <v>11</v>
      </c>
      <c r="D99" s="4" t="s">
        <v>769</v>
      </c>
      <c r="E99" s="4" t="s">
        <v>757</v>
      </c>
      <c r="F99" s="4" t="s">
        <v>67</v>
      </c>
      <c r="G99" s="4" t="s">
        <v>758</v>
      </c>
      <c r="H99" s="4" t="s">
        <v>770</v>
      </c>
      <c r="I99" s="4" t="s">
        <v>760</v>
      </c>
      <c r="J99" s="4" t="s">
        <v>761</v>
      </c>
      <c r="K99" s="4" t="s">
        <v>786</v>
      </c>
      <c r="L99" s="12" t="s">
        <v>580</v>
      </c>
    </row>
    <row r="100" spans="1:12" ht="15" customHeight="1">
      <c r="A100" s="11" t="s">
        <v>762</v>
      </c>
      <c r="B100" s="6" t="s">
        <v>6</v>
      </c>
      <c r="C100" s="4" t="s">
        <v>11</v>
      </c>
      <c r="D100" s="4" t="s">
        <v>763</v>
      </c>
      <c r="E100" s="4" t="s">
        <v>757</v>
      </c>
      <c r="F100" s="4" t="s">
        <v>67</v>
      </c>
      <c r="G100" s="4" t="s">
        <v>758</v>
      </c>
      <c r="H100" s="4" t="s">
        <v>764</v>
      </c>
      <c r="I100" s="4" t="s">
        <v>760</v>
      </c>
      <c r="J100" s="4" t="s">
        <v>761</v>
      </c>
      <c r="K100" s="4" t="s">
        <v>786</v>
      </c>
      <c r="L100" s="12" t="s">
        <v>580</v>
      </c>
    </row>
    <row r="101" spans="1:12" ht="15" customHeight="1">
      <c r="A101" s="16" t="s">
        <v>285</v>
      </c>
      <c r="B101" s="17" t="s">
        <v>771</v>
      </c>
      <c r="C101" s="18" t="s">
        <v>10</v>
      </c>
      <c r="D101" s="18" t="s">
        <v>287</v>
      </c>
      <c r="E101" s="18" t="s">
        <v>180</v>
      </c>
      <c r="F101" s="18" t="s">
        <v>67</v>
      </c>
      <c r="G101" s="18" t="s">
        <v>286</v>
      </c>
      <c r="H101" s="18" t="s">
        <v>288</v>
      </c>
      <c r="I101" s="18" t="s">
        <v>119</v>
      </c>
      <c r="J101" s="18" t="s">
        <v>120</v>
      </c>
      <c r="K101" s="18" t="s">
        <v>289</v>
      </c>
      <c r="L101" s="19" t="s">
        <v>290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Remaining_63</vt:lpstr>
      <vt:lpstr>Legend</vt:lpstr>
      <vt:lpstr>Value_Guide</vt:lpstr>
      <vt:lpstr>Mechanic_Checkoff</vt:lpstr>
      <vt:lpstr>Current_And_Proposed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Kamron Hamilton</dc:creator>
  <cp:lastModifiedBy>Kamron Hamilton</cp:lastModifiedBy>
  <dcterms:created xsi:type="dcterms:W3CDTF">2026-06-29T20:05:51Z</dcterms:created>
  <dcterms:modified xsi:type="dcterms:W3CDTF">2026-07-01T19:19:29Z</dcterms:modified>
</cp:coreProperties>
</file>